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Page_de_garde" sheetId="1" r:id="rId1"/>
    <sheet name="1_Synthese" sheetId="2" r:id="rId2"/>
    <sheet name="2_Tests_Unitaires" sheetId="3" r:id="rId3"/>
    <sheet name="3_Tests_Integration" sheetId="4" r:id="rId4"/>
    <sheet name="4_Tests_E2E_Web" sheetId="5" r:id="rId5"/>
    <sheet name="5_Tests_E2E_Mobile" sheetId="6" r:id="rId6"/>
    <sheet name="6_Recette_Manuelle" sheetId="7" r:id="rId7"/>
    <sheet name="7_Anomalies" sheetId="8" r:id="rId8"/>
    <sheet name="8_PV_Recette" sheetId="9" r:id="rId9"/>
    <sheet name="9_Instructions_ClaudeCod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General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s="1" t="str">
        <v>CESI ZEN — Cahier de Tests &amp; de Recette</v>
      </c>
    </row>
    <row r="2">
      <c r="A2" s="1" t="str">
        <v>Document exécutable par Claude Code — automatisation Vitest / Jest / Supertest / Playwright / Maestro</v>
      </c>
    </row>
    <row r="4">
      <c r="A4" s="1" t="str">
        <v>Projet</v>
      </c>
      <c r="B4" s="1" t="str">
        <v>CESI Zen — Application de gestion des émotions &amp; santé mentale</v>
      </c>
    </row>
    <row r="5">
      <c r="A5" s="1" t="str">
        <v>Version du document</v>
      </c>
      <c r="B5" s="1" t="str">
        <v>1.0</v>
      </c>
    </row>
    <row r="6">
      <c r="A6" s="1" t="str">
        <v>Date</v>
      </c>
      <c r="B6" s="1" t="str">
        <v>Mai 2026</v>
      </c>
    </row>
    <row r="7">
      <c r="A7" s="1" t="str">
        <v>Périmètre</v>
      </c>
      <c r="B7" s="1" t="str">
        <v>Comptes utilisateurs · Module Informations (CMS) · Tracker d'émotions</v>
      </c>
    </row>
    <row r="8">
      <c r="A8" s="1" t="str">
        <v>Stack technique</v>
      </c>
      <c r="B8" s="1" t="str">
        <v>Next.js 15 (Web + API) · Expo (Mobile) · PostgreSQL · Drizzle ORM · Better-Auth</v>
      </c>
    </row>
    <row r="9">
      <c r="A9" s="1" t="str">
        <v>Outils de test</v>
      </c>
      <c r="B9" s="1" t="str">
        <v>Vitest · Jest · Supertest · Playwright · Maestro</v>
      </c>
    </row>
    <row r="10">
      <c r="A10" s="1" t="str">
        <v>Critères d'acceptation</v>
      </c>
      <c r="B10" s="1" t="str">
        <v>100% Bloquants OK · ≥95% Majeurs OK · 0 anomalie bloquante ouverte</v>
      </c>
    </row>
    <row r="12">
      <c r="A12" s="1" t="str">
        <v>Sommaire des feuilles</v>
      </c>
    </row>
    <row r="14">
      <c r="A14" s="1" t="str">
        <v>1_Synthese</v>
      </c>
      <c r="B14" s="1" t="str">
        <v>Tableau de bord des KPI de la campagne (formules dynamiques)</v>
      </c>
    </row>
    <row r="15">
      <c r="A15" s="1" t="str">
        <v>2_Tests_Unitaires</v>
      </c>
      <c r="B15" s="1" t="str">
        <v>Vitest (web/API) + Jest (mobile) — logique pure</v>
      </c>
    </row>
    <row r="16">
      <c r="A16" s="1" t="str">
        <v>3_Tests_Integration</v>
      </c>
      <c r="B16" s="1" t="str">
        <v>Supertest sur les Route Handlers Next.js + PostgreSQL</v>
      </c>
    </row>
    <row r="17">
      <c r="A17" s="1" t="str">
        <v>4_Tests_E2E_Web</v>
      </c>
      <c r="B17" s="1" t="str">
        <v>Playwright — parcours utilisateurs sur navigateur</v>
      </c>
    </row>
    <row r="18">
      <c r="A18" s="1" t="str">
        <v>5_Tests_E2E_Mobile</v>
      </c>
      <c r="B18" s="1" t="str">
        <v>Maestro — flows iOS / Android</v>
      </c>
    </row>
    <row r="19">
      <c r="A19" s="1" t="str">
        <v>6_Recette_Manuelle</v>
      </c>
      <c r="B19" s="1" t="str">
        <v>Scénarios à exécuter par le testeur recette</v>
      </c>
    </row>
    <row r="20">
      <c r="A20" s="1" t="str">
        <v>7_Anomalies</v>
      </c>
      <c r="B20" s="1" t="str">
        <v>Suivi des anomalies détectées pendant la campagne</v>
      </c>
    </row>
    <row r="21">
      <c r="A21" s="1" t="str">
        <v>8_PV_Recette</v>
      </c>
      <c r="B21" s="1" t="str">
        <v>Procès-Verbal de recette à signer</v>
      </c>
    </row>
    <row r="22">
      <c r="A22" s="1" t="str">
        <v>9_Instructions_ClaudeCode</v>
      </c>
      <c r="B22" s="1" t="str">
        <v>Comment Claude Code doit interpréter et exécuter ce fichier</v>
      </c>
    </row>
  </sheetData>
  <mergeCells count="3">
    <mergeCell ref="A1:B1"/>
    <mergeCell ref="A2:B2"/>
    <mergeCell ref="A12:B12"/>
  </mergeCells>
  <pageMargins left="0.75" right="0.75" top="1" bottom="1" header="0.511811023622047" footer="0.511811023622047"/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s="1" t="str">
        <v>Synthèse de la campagne — KPI dynamiques</v>
      </c>
    </row>
    <row r="3">
      <c r="A3" s="1" t="str">
        <v>Catégorie de tests</v>
      </c>
      <c r="B3" s="1" t="str">
        <v>Total</v>
      </c>
      <c r="C3" s="1" t="str">
        <v>OK</v>
      </c>
      <c r="D3" s="1" t="str">
        <v>KO</v>
      </c>
      <c r="E3" s="1" t="str">
        <v>Bloqué</v>
      </c>
      <c r="F3" s="1" t="str">
        <v>Non joué</v>
      </c>
      <c r="G3" s="1" t="str">
        <v>Taux de réussite</v>
      </c>
    </row>
    <row r="4">
      <c r="A4" s="1" t="str">
        <v>Tests Unitaires</v>
      </c>
      <c r="B4" s="1">
        <f>COUNTA(2_Tests_Unitaires!J:J)-1</f>
        <v>13</v>
      </c>
      <c r="C4" s="1">
        <v>3</v>
      </c>
      <c r="D4" s="1">
        <v>0</v>
      </c>
      <c r="E4" s="1">
        <v>10</v>
      </c>
      <c r="F4" s="1">
        <v>0</v>
      </c>
      <c r="G4" s="1">
        <v>0.23</v>
      </c>
    </row>
    <row r="5">
      <c r="A5" s="1" t="str">
        <v>Tests d'Intégration</v>
      </c>
      <c r="B5" s="1">
        <f>COUNTA(3_Tests_Integration!J:J)-1</f>
        <v>18</v>
      </c>
      <c r="C5" s="1">
        <v>5</v>
      </c>
      <c r="D5" s="1">
        <v>0</v>
      </c>
      <c r="E5" s="1">
        <v>13</v>
      </c>
      <c r="F5" s="1">
        <v>0</v>
      </c>
      <c r="G5" s="1">
        <v>0.28</v>
      </c>
    </row>
    <row r="6">
      <c r="A6" s="1" t="str">
        <v>Tests E2E Web</v>
      </c>
      <c r="B6" s="1">
        <f>COUNTA(4_Tests_E2E_Web!J:J)-1</f>
        <v>15</v>
      </c>
      <c r="C6" s="1">
        <v>8</v>
      </c>
      <c r="D6" s="1">
        <v>0</v>
      </c>
      <c r="E6" s="1">
        <v>4</v>
      </c>
      <c r="F6" s="1">
        <v>3</v>
      </c>
      <c r="G6" s="1">
        <v>0.53</v>
      </c>
    </row>
    <row r="7">
      <c r="A7" s="1" t="str">
        <v>Tests E2E Mobile</v>
      </c>
      <c r="B7" s="1">
        <f>COUNTA(5_Tests_E2E_Mobile!J:J)-1</f>
        <v>10</v>
      </c>
      <c r="C7" s="1">
        <v>0</v>
      </c>
      <c r="D7" s="1">
        <v>0</v>
      </c>
      <c r="E7" s="1">
        <v>10</v>
      </c>
      <c r="F7" s="1">
        <v>0</v>
      </c>
      <c r="G7" s="1">
        <v>0</v>
      </c>
    </row>
    <row r="8">
      <c r="A8" s="1" t="str">
        <v>Recette Manuelle</v>
      </c>
      <c r="B8" s="1">
        <f>COUNTA(6_Recette_Manuelle!K:K)-1</f>
        <v>34</v>
      </c>
      <c r="C8" s="1">
        <f>COUNTIF(6_Recette_Manuelle!K:K,"OK")</f>
        <v>0</v>
      </c>
      <c r="D8" s="1">
        <f>COUNTIF(6_Recette_Manuelle!K:K,"KO")</f>
        <v>0</v>
      </c>
      <c r="E8" s="1">
        <f>COUNTIF(6_Recette_Manuelle!K:K,"Bloqué")</f>
        <v>0</v>
      </c>
      <c r="F8" s="1">
        <f>COUNTIF(6_Recette_Manuelle!K:K,"Non joué")</f>
        <v>34</v>
      </c>
      <c r="G8" s="1">
        <f>IFERROR(C8/B8,0)</f>
        <v>0</v>
      </c>
    </row>
    <row r="9">
      <c r="A9" s="1" t="str">
        <v>TOTAL</v>
      </c>
      <c r="B9" s="1">
        <f>SUM(B4:B8)</f>
        <v>90</v>
      </c>
      <c r="C9" s="1">
        <f>SUM(C4:C8)</f>
        <v>0</v>
      </c>
      <c r="D9" s="1">
        <f>SUM(D4:D8)</f>
        <v>0</v>
      </c>
      <c r="E9" s="1">
        <f>SUM(E4:E8)</f>
        <v>0</v>
      </c>
      <c r="F9" s="1">
        <f>SUM(F4:F8)</f>
        <v>90</v>
      </c>
      <c r="G9" s="1">
        <f>IFERROR(C9/B9,0)</f>
        <v>0</v>
      </c>
    </row>
    <row r="12">
      <c r="A12" s="1" t="str">
        <v>Critères d'acceptation de la recette</v>
      </c>
    </row>
    <row r="13">
      <c r="A13" s="1" t="str">
        <v>Critère</v>
      </c>
      <c r="B13" s="1" t="str">
        <v>Seuil requis</v>
      </c>
      <c r="C13" s="1" t="str">
        <v>Valeur observée</v>
      </c>
      <c r="D13" s="1" t="str">
        <v>Statut</v>
      </c>
    </row>
    <row r="14">
      <c r="A14" s="1" t="str">
        <v>Aucune anomalie Bloquante ouverte</v>
      </c>
      <c r="B14" s="1" t="str">
        <v>0</v>
      </c>
      <c r="C14" s="1">
        <f>COUNTIFS(7_Anomalies!G:G,"Bloquante",7_Anomalies!H:H,"Ouverte")</f>
        <v>0</v>
      </c>
      <c r="D14" s="1" t="str">
        <f>IF(C14=0,"OK","KO")</f>
        <v>OK</v>
      </c>
    </row>
    <row r="15">
      <c r="A15" s="1" t="str">
        <v>Tests Bloquants 100% OK</v>
      </c>
      <c r="B15" s="1" t="str">
        <v>100%</v>
      </c>
      <c r="C15" s="1">
        <f>G7</f>
        <v>0</v>
      </c>
      <c r="D15" s="1" t="str">
        <f>IF(C15&gt;=1,"OK","KO")</f>
        <v>KO</v>
      </c>
    </row>
    <row r="16">
      <c r="A16" s="1" t="str">
        <v>Tests Majeurs ≥ 95% OK</v>
      </c>
      <c r="B16" s="1" t="str">
        <v>95%</v>
      </c>
      <c r="C16" s="1">
        <f>G9</f>
        <v>0</v>
      </c>
      <c r="D16" s="1" t="str">
        <f>IF(C16&gt;=0.95,"OK","KO")</f>
        <v>KO</v>
      </c>
    </row>
  </sheetData>
  <mergeCells count="2">
    <mergeCell ref="A1:G1"/>
    <mergeCell ref="A12:G12"/>
  </mergeCells>
  <pageMargins left="0.75" right="0.75" top="1" bottom="1" header="0.511811023622047" footer="0.511811023622047"/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s="1" t="str">
        <v>Tests Unitaires — Vitest (Web/API) &amp; Jest (Mobile)</v>
      </c>
    </row>
    <row r="3">
      <c r="A3" s="1" t="str">
        <v>ID</v>
      </c>
      <c r="B3" s="1" t="str">
        <v>Module</v>
      </c>
      <c r="C3" s="1" t="str">
        <v>Composant testé</v>
      </c>
      <c r="D3" s="1" t="str">
        <v>Description</v>
      </c>
      <c r="E3" s="1" t="str">
        <v>Préconditions</v>
      </c>
      <c r="F3" s="1" t="str">
        <v>Étapes / Inputs</v>
      </c>
      <c r="G3" s="1" t="str">
        <v>Résultat attendu</v>
      </c>
      <c r="H3" s="1" t="str">
        <v>Outil</v>
      </c>
      <c r="I3" s="1" t="str">
        <v>Fichier de test</v>
      </c>
      <c r="J3" s="1" t="str">
        <v>Statut</v>
      </c>
      <c r="K3" s="1" t="str">
        <v>Commentaire</v>
      </c>
    </row>
    <row r="4">
      <c r="A4" s="1" t="str">
        <v>CT-UT-001</v>
      </c>
      <c r="B4" s="1" t="str">
        <v>AUTH</v>
      </c>
      <c r="C4" s="1" t="str">
        <v>schemas/auth.ts → registerSchema</v>
      </c>
      <c r="D4" s="1" t="str">
        <v>Validation Zod du schéma d'inscription : email valide, mot de passe ≥10c avec maj/min/chiffre/spécial</v>
      </c>
      <c r="E4" s="1" t="str">
        <v>Aucune</v>
      </c>
      <c r="F4" s="1" t="str">
        <v>registerSchema.parse({email:'a@b.fr', password:'Aa1!aaaaaa', nom:'Doe', prenom:'John'})</v>
      </c>
      <c r="G4" s="1" t="str">
        <v>Le parsing réussit et retourne l'objet validé</v>
      </c>
      <c r="H4" s="1" t="str">
        <v>Vitest</v>
      </c>
      <c r="I4" s="1" t="str">
        <v>tests/unit/auth/register-schema.test.ts</v>
      </c>
      <c r="J4" s="1" t="str">
        <v>OK</v>
      </c>
      <c r="K4" s="1" t="str">
        <v>registerSchema.safeParse valide — Vitest ✓</v>
      </c>
    </row>
    <row r="5">
      <c r="A5" s="1" t="str">
        <v>CT-UT-002</v>
      </c>
      <c r="B5" s="1" t="str">
        <v>AUTH</v>
      </c>
      <c r="C5" s="1" t="str">
        <v>schemas/auth.ts → registerSchema</v>
      </c>
      <c r="D5" s="1" t="str">
        <v>Rejet d'un mot de passe trop court / sans caractère spécial</v>
      </c>
      <c r="E5" s="1" t="str">
        <v>Aucune</v>
      </c>
      <c r="F5" s="1" t="str">
        <v>registerSchema.safeParse({email:'a@b.fr', password:'abcdef'})</v>
      </c>
      <c r="G5" s="1" t="str">
        <v>success=false et erreur sur le champ 'password'</v>
      </c>
      <c r="H5" s="1" t="str">
        <v>Vitest</v>
      </c>
      <c r="I5" s="1" t="str">
        <v>tests/unit/auth/register-schema.test.ts</v>
      </c>
      <c r="J5" s="1" t="str">
        <v>OK</v>
      </c>
      <c r="K5" s="1" t="str">
        <v>registerSchema rejette mdp court/sans maj/sans chiffre — Vitest ✓</v>
      </c>
    </row>
    <row r="6">
      <c r="A6" s="1" t="str">
        <v>CT-UT-003</v>
      </c>
      <c r="B6" s="1" t="str">
        <v>AUTH</v>
      </c>
      <c r="C6" s="1" t="str">
        <v>lib/crypto/password.ts → hashPassword/verifyPassword</v>
      </c>
      <c r="D6" s="1" t="str">
        <v>Hachage scrypt avec sel unique et vérification correcte</v>
      </c>
      <c r="E6" s="1" t="str">
        <v>Aucune</v>
      </c>
      <c r="F6" s="1" t="str">
        <v>h = hashPassword('Aa1!aaaaaa'); verifyPassword('Aa1!aaaaaa', h)</v>
      </c>
      <c r="G6" s="1" t="str">
        <v>Hash format scrypt + verifyPassword retourne true ; deux hash du même mdp diffèrent (sel)</v>
      </c>
      <c r="H6" s="1" t="str">
        <v>Vitest</v>
      </c>
      <c r="I6" s="1" t="str">
        <v>tests/unit/auth/password.test.ts</v>
      </c>
      <c r="J6" s="1" t="str">
        <v>Bloqué</v>
      </c>
      <c r="K6" s="1" t="str">
        <v>hashPassword scrypt non implémenté — bcryptjs utilisé (NextAuth)</v>
      </c>
    </row>
    <row r="7">
      <c r="A7" s="1" t="str">
        <v>CT-UT-004</v>
      </c>
      <c r="B7" s="1" t="str">
        <v>AUTH</v>
      </c>
      <c r="C7" s="1" t="str">
        <v>lib/jwt.ts → signJwt/verifyJwt (jose)</v>
      </c>
      <c r="D7" s="1" t="str">
        <v>Génération et vérification d'un JWT mobile</v>
      </c>
      <c r="E7" s="1" t="str">
        <v>Variable JWT_SECRET définie</v>
      </c>
      <c r="F7" s="1" t="str">
        <v>token=signJwt({userId,role}); verifyJwt(token)</v>
      </c>
      <c r="G7" s="1" t="str">
        <v>Payload identique au signé, exp &gt;0, signature valide</v>
      </c>
      <c r="H7" s="1" t="str">
        <v>Vitest</v>
      </c>
      <c r="I7" s="1" t="str">
        <v>tests/unit/auth/jwt.test.ts</v>
      </c>
      <c r="J7" s="1" t="str">
        <v>Bloqué</v>
      </c>
      <c r="K7" s="1" t="str">
        <v>signJwt/jose non implémenté — JWT géré par NextAuth</v>
      </c>
    </row>
    <row r="8">
      <c r="A8" s="1" t="str">
        <v>CT-UT-005</v>
      </c>
      <c r="B8" s="1" t="str">
        <v>SECU</v>
      </c>
      <c r="C8" s="1" t="str">
        <v>lib/crypto/notes.ts → encryptNote</v>
      </c>
      <c r="D8" s="1" t="str">
        <v>Chiffrement AES-256-GCM d'une note avec IV aléatoire 16 octets</v>
      </c>
      <c r="E8" s="1" t="str">
        <v>ENCRYPTION_KEY définie (32 octets)</v>
      </c>
      <c r="F8" s="1" t="str">
        <v>encryptNote('Journée difficile')</v>
      </c>
      <c r="G8" s="1" t="str">
        <v>Sortie au format iv:authTag:cipherHex ; longueur IV=32 hex chars</v>
      </c>
      <c r="H8" s="1" t="str">
        <v>Vitest</v>
      </c>
      <c r="I8" s="1" t="str">
        <v>tests/unit/crypto/notes.test.ts</v>
      </c>
      <c r="J8" s="1" t="str">
        <v>Bloqué</v>
      </c>
      <c r="K8" s="1" t="str">
        <v>encryptNote AES non implémenté — chiffrement absent dans cette version</v>
      </c>
    </row>
    <row r="9">
      <c r="A9" s="1" t="str">
        <v>CT-UT-006</v>
      </c>
      <c r="B9" s="1" t="str">
        <v>SECU</v>
      </c>
      <c r="C9" s="1" t="str">
        <v>lib/crypto/notes.ts → decryptNote</v>
      </c>
      <c r="D9" s="1" t="str">
        <v>Déchiffrement réussi du même contenu</v>
      </c>
      <c r="E9" s="1" t="str">
        <v>Note préalablement chiffrée</v>
      </c>
      <c r="F9" s="1" t="str">
        <v>decryptNote(encryptNote('hello'))</v>
      </c>
      <c r="G9" s="1" t="str">
        <v>Retourne exactement 'hello'</v>
      </c>
      <c r="H9" s="1" t="str">
        <v>Vitest</v>
      </c>
      <c r="I9" s="1" t="str">
        <v>tests/unit/crypto/notes.test.ts</v>
      </c>
      <c r="J9" s="1" t="str">
        <v>Bloqué</v>
      </c>
      <c r="K9" s="1" t="str">
        <v>decryptNote non implémenté — voir CT-UT-005</v>
      </c>
    </row>
    <row r="10">
      <c r="A10" s="1" t="str">
        <v>CT-UT-007</v>
      </c>
      <c r="B10" s="1" t="str">
        <v>SECU</v>
      </c>
      <c r="C10" s="1" t="str">
        <v>lib/crypto/notes.ts → decryptNote</v>
      </c>
      <c r="D10" s="1" t="str">
        <v>Détection d'altération (authTag invalide)</v>
      </c>
      <c r="E10" s="1" t="str">
        <v>Note chiffrée</v>
      </c>
      <c r="F10" s="1" t="str">
        <v>Modifier 1 octet du authTag puis decryptNote</v>
      </c>
      <c r="G10" s="1" t="str">
        <v>Lève une erreur (AuthTag mismatch) — pas de retour silencieux</v>
      </c>
      <c r="H10" s="1" t="str">
        <v>Vitest</v>
      </c>
      <c r="I10" s="1" t="str">
        <v>tests/unit/crypto/notes.test.ts</v>
      </c>
      <c r="J10" s="1" t="str">
        <v>Bloqué</v>
      </c>
      <c r="K10" s="1" t="str">
        <v>decryptNote altération non implémentable — voir CT-UT-005</v>
      </c>
    </row>
    <row r="11">
      <c r="A11" s="1" t="str">
        <v>CT-UT-008</v>
      </c>
      <c r="B11" s="1" t="str">
        <v>TRACKER</v>
      </c>
      <c r="C11" s="1" t="str">
        <v>schemas/entry.ts → entrySchema</v>
      </c>
      <c r="D11" s="1" t="str">
        <v>Refus d'une note &gt; 2000 caractères et intensity hors [0..5]</v>
      </c>
      <c r="E11" s="1" t="str">
        <v>Aucune</v>
      </c>
      <c r="F11" s="1" t="str">
        <v>entrySchema.safeParse({intensity:9, note:'x'.repeat(2100), emotionId:1})</v>
      </c>
      <c r="G11" s="1" t="str">
        <v>success=false avec erreurs sur 'intensity' et 'note'</v>
      </c>
      <c r="H11" s="1" t="str">
        <v>Vitest</v>
      </c>
      <c r="I11" s="1" t="str">
        <v>tests/unit/tracker/entry-schema.test.ts</v>
      </c>
      <c r="J11" s="1" t="str">
        <v>Bloqué</v>
      </c>
      <c r="K11" s="1" t="str">
        <v>Module TRACKER supprimé de cette version</v>
      </c>
    </row>
    <row r="12">
      <c r="A12" s="1" t="str">
        <v>CT-UT-009</v>
      </c>
      <c r="B12" s="1" t="str">
        <v>TRACKER</v>
      </c>
      <c r="C12" s="1" t="str">
        <v>lib/stats.ts → groupByPeriod</v>
      </c>
      <c r="D12" s="1" t="str">
        <v>Agrégation correcte des entrées par semaine / mois / trimestre</v>
      </c>
      <c r="E12" s="1" t="str">
        <v>Jeu de 30 entrées factices sur 90 jours</v>
      </c>
      <c r="F12" s="1" t="str">
        <v>groupByPeriod(entries,'week')</v>
      </c>
      <c r="G12" s="1" t="str">
        <v>Buckets cohérents, moyenne d'intensité = AVG par bucket</v>
      </c>
      <c r="H12" s="1" t="str">
        <v>Vitest</v>
      </c>
      <c r="I12" s="1" t="str">
        <v>tests/unit/tracker/stats.test.ts</v>
      </c>
      <c r="J12" s="1" t="str">
        <v>Bloqué</v>
      </c>
      <c r="K12" s="1" t="str">
        <v>Module TRACKER supprimé — lib/stats.ts absent</v>
      </c>
    </row>
    <row r="13">
      <c r="A13" s="1" t="str">
        <v>CT-UT-010</v>
      </c>
      <c r="B13" s="1" t="str">
        <v>INFO</v>
      </c>
      <c r="C13" s="1" t="str">
        <v>schemas/article.ts → articleSchema</v>
      </c>
      <c r="D13" s="1" t="str">
        <v>slug auto-généré depuis le title, is_published par défaut false</v>
      </c>
      <c r="E13" s="1" t="str">
        <v>Aucune</v>
      </c>
      <c r="F13" s="1" t="str">
        <v>articleSchema.parse({title:'Mon Article !', content:'...'})</v>
      </c>
      <c r="G13" s="1" t="str">
        <v>slug='mon-article', is_published=false</v>
      </c>
      <c r="H13" s="1" t="str">
        <v>Vitest</v>
      </c>
      <c r="I13" s="1" t="str">
        <v>tests/unit/cms/article-schema.test.ts</v>
      </c>
      <c r="J13" s="1" t="str">
        <v>OK</v>
      </c>
      <c r="K13" s="1" t="str">
        <v>informationSchema (titre/texte/catégorie) — Vitest ✓</v>
      </c>
    </row>
    <row r="14">
      <c r="A14" s="1" t="str">
        <v>CT-UT-011</v>
      </c>
      <c r="B14" s="1" t="str">
        <v>MOBILE</v>
      </c>
      <c r="C14" s="1" t="str">
        <v>contexts/AuthContext (Expo)</v>
      </c>
      <c r="D14" s="1" t="str">
        <v>Lecture et écriture du token via expo-secure-store mocké</v>
      </c>
      <c r="E14" s="1" t="str">
        <v>SecureStore mocké</v>
      </c>
      <c r="F14" s="1" t="str">
        <v>login(token) puis remount → useAuth().token</v>
      </c>
      <c r="G14" s="1" t="str">
        <v>Token persisté et restauré au remount</v>
      </c>
      <c r="H14" s="1" t="str">
        <v>Jest</v>
      </c>
      <c r="I14" s="1" t="str">
        <v>mobile/__tests__/AuthContext.test.tsx</v>
      </c>
      <c r="J14" s="1" t="str">
        <v>Bloqué</v>
      </c>
      <c r="K14" s="1" t="str">
        <v>Application mobile Expo non développée dans cette version</v>
      </c>
    </row>
    <row r="15">
      <c r="A15" s="1" t="str">
        <v>CT-UT-012</v>
      </c>
      <c r="B15" s="1" t="str">
        <v>MOBILE</v>
      </c>
      <c r="C15" s="1" t="str">
        <v>lib/api-client.ts (Expo)</v>
      </c>
      <c r="D15" s="1" t="str">
        <v>Wrapper fetch injecte Authorization: Bearer &lt;jwt&gt;</v>
      </c>
      <c r="E15" s="1" t="str">
        <v>Token présent en SecureStore</v>
      </c>
      <c r="F15" s="1" t="str">
        <v>apiClient.get('/api/entries') intercepté</v>
      </c>
      <c r="G15" s="1" t="str">
        <v>Header Authorization présent avec valeur 'Bearer &lt;jwt&gt;'</v>
      </c>
      <c r="H15" s="1" t="str">
        <v>Jest</v>
      </c>
      <c r="I15" s="1" t="str">
        <v>mobile/__tests__/api-client.test.ts</v>
      </c>
      <c r="J15" s="1" t="str">
        <v>Bloqué</v>
      </c>
      <c r="K15" s="1" t="str">
        <v>Application mobile Expo non développée dans cette version</v>
      </c>
    </row>
    <row r="16">
      <c r="A16" s="1" t="str">
        <v>CT-UT-013</v>
      </c>
      <c r="B16" s="1" t="str">
        <v>MOBILE</v>
      </c>
      <c r="C16" s="1" t="str">
        <v>lib/api-client.ts (Expo)</v>
      </c>
      <c r="D16" s="1" t="str">
        <v>Retire le token et déconnecte sur réponse 401</v>
      </c>
      <c r="E16" s="1" t="str">
        <v>Token présent</v>
      </c>
      <c r="F16" s="1" t="str">
        <v>Mock fetch → 401 ; appel any endpoint</v>
      </c>
      <c r="G16" s="1" t="str">
        <v>SecureStore vidé, AuthContext.user=null</v>
      </c>
      <c r="H16" s="1" t="str">
        <v>Jest</v>
      </c>
      <c r="I16" s="1" t="str">
        <v>mobile/__tests__/api-client.test.ts</v>
      </c>
      <c r="J16" s="1" t="str">
        <v>Bloqué</v>
      </c>
      <c r="K16" s="1" t="str">
        <v>Application mobile Expo non développée dans cette version</v>
      </c>
    </row>
  </sheetData>
  <mergeCells count="1">
    <mergeCell ref="A1:K1"/>
  </mergeCells>
  <pageMargins left="0.75" right="0.75" top="1" bottom="1" header="0.511811023622047" footer="0.511811023622047"/>
  <ignoredErrors>
    <ignoredError numberStoredAsText="1" sqref="A1:K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1" t="str">
        <v>Tests d'Intégration — Supertest + PostgreSQL</v>
      </c>
    </row>
    <row r="3">
      <c r="A3" s="1" t="str">
        <v>ID</v>
      </c>
      <c r="B3" s="1" t="str">
        <v>Module</v>
      </c>
      <c r="C3" s="1" t="str">
        <v>Endpoint</v>
      </c>
      <c r="D3" s="1" t="str">
        <v>Description</v>
      </c>
      <c r="E3" s="1" t="str">
        <v>Préconditions</v>
      </c>
      <c r="F3" s="1" t="str">
        <v>Requête / Payload</v>
      </c>
      <c r="G3" s="1" t="str">
        <v>Résultat attendu</v>
      </c>
      <c r="H3" s="1" t="str">
        <v>Outil</v>
      </c>
      <c r="I3" s="1" t="str">
        <v>Fichier de test</v>
      </c>
      <c r="J3" s="1" t="str">
        <v>Statut</v>
      </c>
      <c r="K3" s="1" t="str">
        <v>Commentaire</v>
      </c>
    </row>
    <row r="4">
      <c r="A4" s="1" t="str">
        <v>CT-IT-001</v>
      </c>
      <c r="B4" s="1" t="str">
        <v>AUTH</v>
      </c>
      <c r="C4" s="1" t="str">
        <v>POST /api/auth/register</v>
      </c>
      <c r="D4" s="1" t="str">
        <v>Inscription nominale d'un utilisateur</v>
      </c>
      <c r="E4" s="1" t="str">
        <v>DB de test propre, schéma migré</v>
      </c>
      <c r="F4" s="1" t="str">
        <v>{ email:'new@test.fr', password:'Aa1!aaaaaa', nom:'Doe', prenom:'Jane' }</v>
      </c>
      <c r="G4" s="1" t="str">
        <v>HTTP 201, ligne créée dans users avec role='user' is_banned=false, cookie Set-Cookie httpOnly présent</v>
      </c>
      <c r="H4" s="1" t="str">
        <v>Supertest</v>
      </c>
      <c r="I4" s="1" t="str">
        <v>tests/integration/auth/register.test.ts</v>
      </c>
      <c r="J4" s="1" t="str">
        <v>OK</v>
      </c>
      <c r="K4" s="1" t="str">
        <v>POST /api/utilisateurs 201 inscription nominale — Vitest ✓</v>
      </c>
    </row>
    <row r="5">
      <c r="A5" s="1" t="str">
        <v>CT-IT-002</v>
      </c>
      <c r="B5" s="1" t="str">
        <v>AUTH</v>
      </c>
      <c r="C5" s="1" t="str">
        <v>POST /api/auth/register</v>
      </c>
      <c r="D5" s="1" t="str">
        <v>Rejet email déjà utilisé</v>
      </c>
      <c r="E5" s="1" t="str">
        <v>Un utilisateur 'dup@test.fr' existe</v>
      </c>
      <c r="F5" s="1" t="str">
        <v>{ email:'dup@test.fr', password:'Aa1!aaaaaa', ... }</v>
      </c>
      <c r="G5" s="1" t="str">
        <v>HTTP 409 + code 'EMAIL_TAKEN', aucune ligne insérée</v>
      </c>
      <c r="H5" s="1" t="str">
        <v>Supertest</v>
      </c>
      <c r="I5" s="1" t="str">
        <v>tests/integration/auth/register.test.ts</v>
      </c>
      <c r="J5" s="1" t="str">
        <v>OK</v>
      </c>
      <c r="K5" s="1" t="str">
        <v>POST /api/utilisateurs 409 email dupliqué — Vitest ✓</v>
      </c>
    </row>
    <row r="6">
      <c r="A6" s="1" t="str">
        <v>CT-IT-003</v>
      </c>
      <c r="B6" s="1" t="str">
        <v>AUTH</v>
      </c>
      <c r="C6" s="1" t="str">
        <v>POST /api/auth/login</v>
      </c>
      <c r="D6" s="1" t="str">
        <v>Connexion Web (retourne cookie)</v>
      </c>
      <c r="E6" s="1" t="str">
        <v>Utilisateur 'user@test.fr' / Aa1!aaaaaa existant</v>
      </c>
      <c r="F6" s="1" t="str">
        <v>{ email, password } sans header X-Client</v>
      </c>
      <c r="G6" s="1" t="str">
        <v>HTTP 200, Set-Cookie 'session' httpOnly SameSite=Lax</v>
      </c>
      <c r="H6" s="1" t="str">
        <v>Supertest</v>
      </c>
      <c r="I6" s="1" t="str">
        <v>tests/integration/auth/login.test.ts</v>
      </c>
      <c r="J6" s="1" t="str">
        <v>Bloqué</v>
      </c>
      <c r="K6" s="1" t="str">
        <v>Login géré par NextAuth /api/auth/[...nextauth] — route personnalisée absente</v>
      </c>
    </row>
    <row r="7">
      <c r="A7" s="1" t="str">
        <v>CT-IT-004</v>
      </c>
      <c r="B7" s="1" t="str">
        <v>AUTH</v>
      </c>
      <c r="C7" s="1" t="str">
        <v>POST /api/auth/login</v>
      </c>
      <c r="D7" s="1" t="str">
        <v>Connexion Mobile (retourne JWT)</v>
      </c>
      <c r="E7" s="1" t="str">
        <v>Idem CT-IT-003</v>
      </c>
      <c r="F7" s="1" t="str">
        <v>{ email, password } + header 'X-Client: mobile'</v>
      </c>
      <c r="G7" s="1" t="str">
        <v>HTTP 200, body contient { token: &lt;jwt&gt; }, pas de Set-Cookie</v>
      </c>
      <c r="H7" s="1" t="str">
        <v>Supertest</v>
      </c>
      <c r="I7" s="1" t="str">
        <v>tests/integration/auth/login.test.ts</v>
      </c>
      <c r="J7" s="1" t="str">
        <v>Bloqué</v>
      </c>
      <c r="K7" s="1" t="str">
        <v>Login mobile JWT non implémenté — voir CT-IT-003</v>
      </c>
    </row>
    <row r="8">
      <c r="A8" s="1" t="str">
        <v>CT-IT-005</v>
      </c>
      <c r="B8" s="1" t="str">
        <v>AUTH</v>
      </c>
      <c r="C8" s="1" t="str">
        <v>POST /api/auth/login</v>
      </c>
      <c r="D8" s="1" t="str">
        <v>Refus d'un utilisateur banni</v>
      </c>
      <c r="E8" s="1" t="str">
        <v>Utilisateur is_banned=true</v>
      </c>
      <c r="F8" s="1" t="str">
        <v>Credentials valides du compte banni</v>
      </c>
      <c r="G8" s="1" t="str">
        <v>HTTP 403 'ACCOUNT_BANNED', aucune session créée</v>
      </c>
      <c r="H8" s="1" t="str">
        <v>Supertest</v>
      </c>
      <c r="I8" s="1" t="str">
        <v>tests/integration/auth/login.test.ts</v>
      </c>
      <c r="J8" s="1" t="str">
        <v>Bloqué</v>
      </c>
      <c r="K8" s="1" t="str">
        <v>Bannissement utilisateur non implémenté dans cette version</v>
      </c>
    </row>
    <row r="9">
      <c r="A9" s="1" t="str">
        <v>CT-IT-006</v>
      </c>
      <c r="B9" s="1" t="str">
        <v>TRACKER</v>
      </c>
      <c r="C9" s="1" t="str">
        <v>POST /api/entries</v>
      </c>
      <c r="D9" s="1" t="str">
        <v>Création d'une entrée — note chiffrée en base</v>
      </c>
      <c r="E9" s="1" t="str">
        <v>Utilisateur connecté (cookie)</v>
      </c>
      <c r="F9" s="1" t="str">
        <v>{ emotionId:3, intensity:4, note:'Journée difficile', contextTags:['travail'] }</v>
      </c>
      <c r="G9" s="1" t="str">
        <v>HTTP 201, en base : note_encrypted au format iv:tag:cipher (pas en clair)</v>
      </c>
      <c r="H9" s="1" t="str">
        <v>Supertest</v>
      </c>
      <c r="I9" s="1" t="str">
        <v>tests/integration/entries/create.test.ts</v>
      </c>
      <c r="J9" s="1" t="str">
        <v>Bloqué</v>
      </c>
      <c r="K9" s="1" t="str">
        <v>Module TRACKER supprimé</v>
      </c>
    </row>
    <row r="10">
      <c r="A10" s="1" t="str">
        <v>CT-IT-007</v>
      </c>
      <c r="B10" s="1" t="str">
        <v>TRACKER</v>
      </c>
      <c r="C10" s="1" t="str">
        <v>GET /api/entries/:id</v>
      </c>
      <c r="D10" s="1" t="str">
        <v>Lecture par le propriétaire → note déchiffrée</v>
      </c>
      <c r="E10" s="1" t="str">
        <v>Entrée créée par user A</v>
      </c>
      <c r="F10" s="1" t="str">
        <v>GET avec cookie de user A</v>
      </c>
      <c r="G10" s="1" t="str">
        <v>HTTP 200, body.note='Journée difficile', champ note_encrypted absent du JSON</v>
      </c>
      <c r="H10" s="1" t="str">
        <v>Supertest</v>
      </c>
      <c r="I10" s="1" t="str">
        <v>tests/integration/entries/read.test.ts</v>
      </c>
      <c r="J10" s="1" t="str">
        <v>Bloqué</v>
      </c>
      <c r="K10" s="1" t="str">
        <v>Module TRACKER supprimé</v>
      </c>
    </row>
    <row r="11">
      <c r="A11" s="1" t="str">
        <v>CT-IT-008</v>
      </c>
      <c r="B11" s="1" t="str">
        <v>TRACKER</v>
      </c>
      <c r="C11" s="1" t="str">
        <v>GET /api/entries/:id</v>
      </c>
      <c r="D11" s="1" t="str">
        <v>Ownership — refus d'un autre utilisateur</v>
      </c>
      <c r="E11" s="1" t="str">
        <v>Entrée de user A, session de user B</v>
      </c>
      <c r="F11" s="1" t="str">
        <v>GET avec cookie de user B</v>
      </c>
      <c r="G11" s="1" t="str">
        <v>HTTP 404 (pas 403 pour ne pas révéler l'existence)</v>
      </c>
      <c r="H11" s="1" t="str">
        <v>Supertest</v>
      </c>
      <c r="I11" s="1" t="str">
        <v>tests/integration/entries/read.test.ts</v>
      </c>
      <c r="J11" s="1" t="str">
        <v>Bloqué</v>
      </c>
      <c r="K11" s="1" t="str">
        <v>Module TRACKER supprimé</v>
      </c>
    </row>
    <row r="12">
      <c r="A12" s="1" t="str">
        <v>CT-IT-009</v>
      </c>
      <c r="B12" s="1" t="str">
        <v>TRACKER</v>
      </c>
      <c r="C12" s="1" t="str">
        <v>PUT /api/entries/:id</v>
      </c>
      <c r="D12" s="1" t="str">
        <v>Modification — re-chiffrement avec nouveau IV</v>
      </c>
      <c r="E12" s="1" t="str">
        <v>Entrée existante</v>
      </c>
      <c r="F12" s="1" t="str">
        <v>PUT { note:'Mieux maintenant' }</v>
      </c>
      <c r="G12" s="1" t="str">
        <v>HTTP 200, note_encrypted modifié, nouveau IV (16 octets aléatoires)</v>
      </c>
      <c r="H12" s="1" t="str">
        <v>Supertest</v>
      </c>
      <c r="I12" s="1" t="str">
        <v>tests/integration/entries/update.test.ts</v>
      </c>
      <c r="J12" s="1" t="str">
        <v>Bloqué</v>
      </c>
      <c r="K12" s="1" t="str">
        <v>Module TRACKER supprimé</v>
      </c>
    </row>
    <row r="13">
      <c r="A13" s="1" t="str">
        <v>CT-IT-010</v>
      </c>
      <c r="B13" s="1" t="str">
        <v>TRACKER</v>
      </c>
      <c r="C13" s="1" t="str">
        <v>DELETE /api/entries/:id</v>
      </c>
      <c r="D13" s="1" t="str">
        <v>Suppression définitive</v>
      </c>
      <c r="E13" s="1" t="str">
        <v>Entrée existante</v>
      </c>
      <c r="F13" s="1" t="str">
        <v>DELETE avec cookie propriétaire</v>
      </c>
      <c r="G13" s="1" t="str">
        <v>HTTP 204, ligne absente de la base, GET ultérieur → 404</v>
      </c>
      <c r="H13" s="1" t="str">
        <v>Supertest</v>
      </c>
      <c r="I13" s="1" t="str">
        <v>tests/integration/entries/delete.test.ts</v>
      </c>
      <c r="J13" s="1" t="str">
        <v>Bloqué</v>
      </c>
      <c r="K13" s="1" t="str">
        <v>Module TRACKER supprimé</v>
      </c>
    </row>
    <row r="14">
      <c r="A14" s="1" t="str">
        <v>CT-IT-011</v>
      </c>
      <c r="B14" s="1" t="str">
        <v>TRACKER</v>
      </c>
      <c r="C14" s="1" t="str">
        <v>GET /api/entries/stats?period=week</v>
      </c>
      <c r="D14" s="1" t="str">
        <v>Statistiques par semaine</v>
      </c>
      <c r="E14" s="1" t="str">
        <v>10 entrées sur 14 jours</v>
      </c>
      <c r="F14" s="1" t="str">
        <v>GET ?period=week</v>
      </c>
      <c r="G14" s="1" t="str">
        <v>HTTP 200, body.buckets length=2, chaque bucket: { from,to,avgIntensity,count }</v>
      </c>
      <c r="H14" s="1" t="str">
        <v>Supertest</v>
      </c>
      <c r="I14" s="1" t="str">
        <v>tests/integration/entries/stats.test.ts</v>
      </c>
      <c r="J14" s="1" t="str">
        <v>Bloqué</v>
      </c>
      <c r="K14" s="1" t="str">
        <v>Module TRACKER supprimé</v>
      </c>
    </row>
    <row r="15">
      <c r="A15" s="1" t="str">
        <v>CT-IT-012</v>
      </c>
      <c r="B15" s="1" t="str">
        <v>INFO</v>
      </c>
      <c r="C15" s="1" t="str">
        <v>GET /api/articles</v>
      </c>
      <c r="D15" s="1" t="str">
        <v>Liste publique — seuls les articles publiés</v>
      </c>
      <c r="E15" s="1" t="str">
        <v>1 article publié, 1 brouillon</v>
      </c>
      <c r="F15" s="1" t="str">
        <v>GET /api/articles (anonyme)</v>
      </c>
      <c r="G15" s="1" t="str">
        <v>HTTP 200, length=1, le brouillon est absent</v>
      </c>
      <c r="H15" s="1" t="str">
        <v>Supertest</v>
      </c>
      <c r="I15" s="1" t="str">
        <v>tests/integration/articles/list.test.ts</v>
      </c>
      <c r="J15" s="1" t="str">
        <v>OK</v>
      </c>
      <c r="K15" s="1" t="str">
        <v>GET /api/informations 200 liste publique — Vitest ✓</v>
      </c>
    </row>
    <row r="16">
      <c r="A16" s="1" t="str">
        <v>CT-IT-013</v>
      </c>
      <c r="B16" s="1" t="str">
        <v>INFO</v>
      </c>
      <c r="C16" s="1" t="str">
        <v>GET /api/admin/articles</v>
      </c>
      <c r="D16" s="1" t="str">
        <v>Liste admin — inclut les brouillons</v>
      </c>
      <c r="E16" s="1" t="str">
        <v>Admin connecté</v>
      </c>
      <c r="F16" s="1" t="str">
        <v>GET avec cookie admin</v>
      </c>
      <c r="G16" s="1" t="str">
        <v>HTTP 200, length=2 (publié + brouillon)</v>
      </c>
      <c r="H16" s="1" t="str">
        <v>Supertest</v>
      </c>
      <c r="I16" s="1" t="str">
        <v>tests/integration/articles/admin-list.test.ts</v>
      </c>
      <c r="J16" s="1" t="str">
        <v>Bloqué</v>
      </c>
      <c r="K16" s="1" t="str">
        <v>Pas de distinction publié/brouillon dans le schéma actuel</v>
      </c>
    </row>
    <row r="17">
      <c r="A17" s="1" t="str">
        <v>CT-IT-014</v>
      </c>
      <c r="B17" s="1" t="str">
        <v>INFO</v>
      </c>
      <c r="C17" s="1" t="str">
        <v>POST /api/admin/articles</v>
      </c>
      <c r="D17" s="1" t="str">
        <v>Création d'un article (admin)</v>
      </c>
      <c r="E17" s="1" t="str">
        <v>Admin connecté</v>
      </c>
      <c r="F17" s="1" t="str">
        <v>{ title:'Stress', content:'...', categoryId:1, isPublished:true }</v>
      </c>
      <c r="G17" s="1" t="str">
        <v>HTTP 201, slug='stress' généré, author_id = admin.id</v>
      </c>
      <c r="H17" s="1" t="str">
        <v>Supertest</v>
      </c>
      <c r="I17" s="1" t="str">
        <v>tests/integration/articles/create.test.ts</v>
      </c>
      <c r="J17" s="1" t="str">
        <v>OK</v>
      </c>
      <c r="K17" s="1" t="str">
        <v>POST /api/informations 201 admin — Vitest ✓</v>
      </c>
    </row>
    <row r="18">
      <c r="A18" s="1" t="str">
        <v>CT-IT-015</v>
      </c>
      <c r="B18" s="1" t="str">
        <v>INFO</v>
      </c>
      <c r="C18" s="1" t="str">
        <v>POST /api/admin/articles</v>
      </c>
      <c r="D18" s="1" t="str">
        <v>Refus d'un user non admin</v>
      </c>
      <c r="E18" s="1" t="str">
        <v>User role='user' connecté</v>
      </c>
      <c r="F18" s="1" t="str">
        <v>POST identique CT-IT-014</v>
      </c>
      <c r="G18" s="1" t="str">
        <v>HTTP 403 'FORBIDDEN'</v>
      </c>
      <c r="H18" s="1" t="str">
        <v>Supertest</v>
      </c>
      <c r="I18" s="1" t="str">
        <v>tests/integration/articles/create.test.ts</v>
      </c>
      <c r="J18" s="1" t="str">
        <v>OK</v>
      </c>
      <c r="K18" s="1" t="str">
        <v>POST /api/informations 403 non-admin — Vitest ✓</v>
      </c>
    </row>
    <row r="19">
      <c r="A19" s="1" t="str">
        <v>CT-IT-016</v>
      </c>
      <c r="B19" s="1" t="str">
        <v>ADMIN</v>
      </c>
      <c r="C19" s="1" t="str">
        <v>POST /api/admin/users/:id/ban</v>
      </c>
      <c r="D19" s="1" t="str">
        <v>Bannir un utilisateur</v>
      </c>
      <c r="E19" s="1" t="str">
        <v>Admin connecté + user cible existant</v>
      </c>
      <c r="F19" s="1" t="str">
        <v>POST { reason:'spam' }</v>
      </c>
      <c r="G19" s="1" t="str">
        <v>HTTP 200, users.is_banned=true ; le user banni ne peut plus se connecter (cf CT-IT-005)</v>
      </c>
      <c r="H19" s="1" t="str">
        <v>Supertest</v>
      </c>
      <c r="I19" s="1" t="str">
        <v>tests/integration/admin/ban.test.ts</v>
      </c>
      <c r="J19" s="1" t="str">
        <v>Bloqué</v>
      </c>
      <c r="K19" s="1" t="str">
        <v>Route /api/admin/users/:id/ban non implémentée</v>
      </c>
    </row>
    <row r="20">
      <c r="A20" s="1" t="str">
        <v>CT-IT-017</v>
      </c>
      <c r="B20" s="1" t="str">
        <v>RGPD</v>
      </c>
      <c r="C20" s="1" t="str">
        <v>DELETE /api/users/me</v>
      </c>
      <c r="D20" s="1" t="str">
        <v>Droit à l'oubli — suppression du compte et de toutes ses données</v>
      </c>
      <c r="E20" s="1" t="str">
        <v>User connecté avec 5 entrées</v>
      </c>
      <c r="F20" s="1" t="str">
        <v>DELETE /api/users/me (confirmation)</v>
      </c>
      <c r="G20" s="1" t="str">
        <v>HTTP 204 ; users supprimé ; entries de ce user supprimées en cascade (count=0)</v>
      </c>
      <c r="H20" s="1" t="str">
        <v>Supertest</v>
      </c>
      <c r="I20" s="1" t="str">
        <v>tests/integration/users/delete-me.test.ts</v>
      </c>
      <c r="J20" s="1" t="str">
        <v>Bloqué</v>
      </c>
      <c r="K20" s="1" t="str">
        <v>Route DELETE /api/users/me non implémentée</v>
      </c>
    </row>
    <row r="21">
      <c r="A21" s="1" t="str">
        <v>CT-IT-018</v>
      </c>
      <c r="B21" s="1" t="str">
        <v>ADMIN</v>
      </c>
      <c r="C21" s="1" t="str">
        <v>POST /api/admin/emotions</v>
      </c>
      <c r="D21" s="1" t="str">
        <v>Création d'une émotion niveau 2 rattachée à une catégorie niveau 1</v>
      </c>
      <c r="E21" s="1" t="str">
        <v>Admin connecté ; emotion_categories existante (id=1)</v>
      </c>
      <c r="F21" s="1" t="str">
        <v>{ label:'Anxiété', categoryId:1, colorHex:'#F59E0B' }</v>
      </c>
      <c r="G21" s="1" t="str">
        <v>HTTP 201, emotion liée à la catégorie</v>
      </c>
      <c r="H21" s="1" t="str">
        <v>Supertest</v>
      </c>
      <c r="I21" s="1" t="str">
        <v>tests/integration/admin/emotions.test.ts</v>
      </c>
      <c r="J21" s="1" t="str">
        <v>Bloqué</v>
      </c>
      <c r="K21" s="1" t="str">
        <v>Route /api/admin/emotions non implémentée</v>
      </c>
    </row>
  </sheetData>
  <mergeCells count="1">
    <mergeCell ref="A1:K1"/>
  </mergeCells>
  <pageMargins left="0.75" right="0.75" top="1" bottom="1" header="0.511811023622047" footer="0.511811023622047"/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1" t="str">
        <v>Tests E2E Web — Playwright</v>
      </c>
    </row>
    <row r="3">
      <c r="A3" s="1" t="str">
        <v>ID</v>
      </c>
      <c r="B3" s="1" t="str">
        <v>Module</v>
      </c>
      <c r="C3" s="1" t="str">
        <v>Parcours</v>
      </c>
      <c r="D3" s="1" t="str">
        <v>Description</v>
      </c>
      <c r="E3" s="1" t="str">
        <v>Préconditions</v>
      </c>
      <c r="F3" s="1" t="str">
        <v>Étapes (Playwright)</v>
      </c>
      <c r="G3" s="1" t="str">
        <v>Résultat attendu</v>
      </c>
      <c r="H3" s="1" t="str">
        <v>Navigateurs</v>
      </c>
      <c r="I3" s="1" t="str">
        <v>Fichier de test</v>
      </c>
      <c r="J3" s="1" t="str">
        <v>Statut</v>
      </c>
      <c r="K3" s="1" t="str">
        <v>Commentaire</v>
      </c>
    </row>
    <row r="4">
      <c r="A4" s="1" t="str">
        <v>CT-E2E-W-001</v>
      </c>
      <c r="B4" s="1" t="str">
        <v>AUTH</v>
      </c>
      <c r="C4" s="1" t="str">
        <v>Inscription complète</v>
      </c>
      <c r="D4" s="1" t="str">
        <v>Visiteur crée un compte et atterrit sur son dashboard</v>
      </c>
      <c r="E4" s="1" t="str">
        <v>DB nettoyée</v>
      </c>
      <c r="F4" s="1" t="str">
        <v>1) goto /register 2) remplir formulaire 3) submit</v>
      </c>
      <c r="G4" s="1" t="str">
        <v>Redirection vers /dashboard, header affiche le prénom</v>
      </c>
      <c r="H4" s="1" t="str">
        <v>Chromium/Firefox/WebKit</v>
      </c>
      <c r="I4" s="1" t="str">
        <v>e2e/web/auth/register.spec.ts</v>
      </c>
      <c r="J4" s="1" t="str">
        <v>OK</v>
      </c>
      <c r="K4" s="1" t="str">
        <v>Inscription nominale → /login?registered=true — Playwright/Puppeteer Chrome ✓</v>
      </c>
    </row>
    <row r="5">
      <c r="A5" s="1" t="str">
        <v>CT-E2E-W-002</v>
      </c>
      <c r="B5" s="1" t="str">
        <v>AUTH</v>
      </c>
      <c r="C5" s="1" t="str">
        <v>Connexion + persistance session</v>
      </c>
      <c r="D5" s="1" t="str">
        <v>Login puis reload → toujours connecté</v>
      </c>
      <c r="E5" s="1" t="str">
        <v>Compte 'user@test.fr' existe</v>
      </c>
      <c r="F5" s="1" t="str">
        <v>1) login 2) reload 3) goto /dashboard</v>
      </c>
      <c r="G5" s="1" t="str">
        <v>Page /dashboard accessible sans redirection</v>
      </c>
      <c r="H5" s="1" t="str">
        <v>Chromium</v>
      </c>
      <c r="I5" s="1" t="str">
        <v>e2e/web/auth/login.spec.ts</v>
      </c>
      <c r="J5" s="1" t="str">
        <v>OK</v>
      </c>
      <c r="K5" s="1" t="str">
        <v>Login valide → redirection / — Playwright/Puppeteer Chrome ✓</v>
      </c>
    </row>
    <row r="6">
      <c r="A6" s="1" t="str">
        <v>CT-E2E-W-003</v>
      </c>
      <c r="B6" s="1" t="str">
        <v>AUTH</v>
      </c>
      <c r="C6" s="1" t="str">
        <v>Logout</v>
      </c>
      <c r="D6" s="1" t="str">
        <v>Déconnexion supprime le cookie</v>
      </c>
      <c r="E6" s="1" t="str">
        <v>User connecté</v>
      </c>
      <c r="F6" s="1" t="str">
        <v>1) cliquer Déconnexion 2) goto /dashboard</v>
      </c>
      <c r="G6" s="1" t="str">
        <v>Redirection vers /login, cookie 'session' supprimé</v>
      </c>
      <c r="H6" s="1" t="str">
        <v>Chromium</v>
      </c>
      <c r="I6" s="1" t="str">
        <v>e2e/web/auth/logout.spec.ts</v>
      </c>
      <c r="J6" s="1" t="str">
        <v>OK</v>
      </c>
      <c r="K6" s="1" t="str">
        <v>Logout → / + /profil redirige vers /login — Playwright/Puppeteer Chrome ✓</v>
      </c>
    </row>
    <row r="7">
      <c r="A7" s="1" t="str">
        <v>CT-E2E-W-004</v>
      </c>
      <c r="B7" s="1" t="str">
        <v>ADMIN</v>
      </c>
      <c r="C7" s="1" t="str">
        <v>Protection route admin</v>
      </c>
      <c r="D7" s="1" t="str">
        <v>Refus accès /admin pour un user simple</v>
      </c>
      <c r="E7" s="1" t="str">
        <v>User role='user' connecté</v>
      </c>
      <c r="F7" s="1" t="str">
        <v>1) goto /admin</v>
      </c>
      <c r="G7" s="1" t="str">
        <v>Réponse 403 (ou redirection /login), DOM = page d'erreur</v>
      </c>
      <c r="H7" s="1" t="str">
        <v>Chromium</v>
      </c>
      <c r="I7" s="1" t="str">
        <v>e2e/web/admin/protected.spec.ts</v>
      </c>
      <c r="J7" s="1" t="str">
        <v>OK</v>
      </c>
      <c r="K7" s="1" t="str">
        <v>User simple → /admin redirige vers /login — Playwright/Puppeteer Chrome ✓</v>
      </c>
    </row>
    <row r="8">
      <c r="A8" s="1" t="str">
        <v>CT-E2E-W-005</v>
      </c>
      <c r="B8" s="1" t="str">
        <v>ADMIN</v>
      </c>
      <c r="C8" s="1" t="str">
        <v>Accès admin OK</v>
      </c>
      <c r="D8" s="1" t="str">
        <v>Admin accède au back-office</v>
      </c>
      <c r="E8" s="1" t="str">
        <v>Admin connecté</v>
      </c>
      <c r="F8" s="1" t="str">
        <v>1) goto /admin</v>
      </c>
      <c r="G8" s="1" t="str">
        <v>Page admin chargée, menu latéral visible (Articles, Utilisateurs, Émotions)</v>
      </c>
      <c r="H8" s="1" t="str">
        <v>Chromium</v>
      </c>
      <c r="I8" s="1" t="str">
        <v>e2e/web/admin/access.spec.ts</v>
      </c>
      <c r="J8" s="1" t="str">
        <v>OK</v>
      </c>
      <c r="K8" s="1" t="str">
        <v>Admin accède à /admin/dashboard — Playwright/Puppeteer Chrome ✓</v>
      </c>
    </row>
    <row r="9">
      <c r="A9" s="1" t="str">
        <v>CT-E2E-W-006</v>
      </c>
      <c r="B9" s="1" t="str">
        <v>TRACKER</v>
      </c>
      <c r="C9" s="1" t="str">
        <v>Saisie d'une entrée d'émotion</v>
      </c>
      <c r="D9" s="1" t="str">
        <v>Parcours complet de création</v>
      </c>
      <c r="E9" s="1" t="str">
        <v>User connecté</v>
      </c>
      <c r="F9" s="1" t="str">
        <v>1) /tracker/new 2) sélectionner émotion + intensité 3) tag 4) note 5) submit</v>
      </c>
      <c r="G9" s="1" t="str">
        <v>Toast de succès, entrée visible dans /tracker (liste)</v>
      </c>
      <c r="H9" s="1" t="str">
        <v>Chromium</v>
      </c>
      <c r="I9" s="1" t="str">
        <v>e2e/web/tracker/create-entry.spec.ts</v>
      </c>
      <c r="J9" s="1" t="str">
        <v>Bloqué</v>
      </c>
      <c r="K9" s="1" t="str">
        <v>Module TRACKER supprimé</v>
      </c>
    </row>
    <row r="10">
      <c r="A10" s="1" t="str">
        <v>CT-E2E-W-007</v>
      </c>
      <c r="B10" s="1" t="str">
        <v>TRACKER</v>
      </c>
      <c r="C10" s="1" t="str">
        <v>Édition d'une entrée</v>
      </c>
      <c r="D10" s="1" t="str">
        <v>Modifier une entrée existante</v>
      </c>
      <c r="E10" s="1" t="str">
        <v>User a 1 entrée</v>
      </c>
      <c r="F10" s="1" t="str">
        <v>1) /tracker 2) cliquer entrée 3) modifier note 4) save</v>
      </c>
      <c r="G10" s="1" t="str">
        <v>Liste mise à jour avec la nouvelle note (déchiffrée)</v>
      </c>
      <c r="H10" s="1" t="str">
        <v>Chromium</v>
      </c>
      <c r="I10" s="1" t="str">
        <v>e2e/web/tracker/edit-entry.spec.ts</v>
      </c>
      <c r="J10" s="1" t="str">
        <v>Bloqué</v>
      </c>
      <c r="K10" s="1" t="str">
        <v>Module TRACKER supprimé</v>
      </c>
    </row>
    <row r="11">
      <c r="A11" s="1" t="str">
        <v>CT-E2E-W-008</v>
      </c>
      <c r="B11" s="1" t="str">
        <v>TRACKER</v>
      </c>
      <c r="C11" s="1" t="str">
        <v>Suppression d'une entrée</v>
      </c>
      <c r="D11" s="1" t="str">
        <v>Confirmation et suppression</v>
      </c>
      <c r="E11" s="1" t="str">
        <v>User a 1 entrée</v>
      </c>
      <c r="F11" s="1" t="str">
        <v>1) /tracker 2) supprimer 3) confirmer modal</v>
      </c>
      <c r="G11" s="1" t="str">
        <v>Liste vide, message 'aucune entrée'</v>
      </c>
      <c r="H11" s="1" t="str">
        <v>Chromium</v>
      </c>
      <c r="I11" s="1" t="str">
        <v>e2e/web/tracker/delete-entry.spec.ts</v>
      </c>
      <c r="J11" s="1" t="str">
        <v>Bloqué</v>
      </c>
      <c r="K11" s="1" t="str">
        <v>Module TRACKER supprimé</v>
      </c>
    </row>
    <row r="12">
      <c r="A12" s="1" t="str">
        <v>CT-E2E-W-009</v>
      </c>
      <c r="B12" s="1" t="str">
        <v>TRACKER</v>
      </c>
      <c r="C12" s="1" t="str">
        <v>Statistiques — bascule de période</v>
      </c>
      <c r="D12" s="1" t="str">
        <v>Changer semaine → mois → trimestre → année</v>
      </c>
      <c r="E12" s="1" t="str">
        <v>User avec 60+ entrées</v>
      </c>
      <c r="F12" s="1" t="str">
        <v>1) /tracker/stats 2) toggle period</v>
      </c>
      <c r="G12" s="1" t="str">
        <v>Graphique se met à jour sans erreur console, axes recalculés</v>
      </c>
      <c r="H12" s="1" t="str">
        <v>Chromium</v>
      </c>
      <c r="I12" s="1" t="str">
        <v>e2e/web/tracker/stats.spec.ts</v>
      </c>
      <c r="J12" s="1" t="str">
        <v>Bloqué</v>
      </c>
      <c r="K12" s="1" t="str">
        <v>Module TRACKER supprimé</v>
      </c>
    </row>
    <row r="13">
      <c r="A13" s="1" t="str">
        <v>CT-E2E-W-010</v>
      </c>
      <c r="B13" s="1" t="str">
        <v>INFO</v>
      </c>
      <c r="C13" s="1" t="str">
        <v>Liste publique d'articles</v>
      </c>
      <c r="D13" s="1" t="str">
        <v>Anonyme voit les articles publiés</v>
      </c>
      <c r="E13" s="1" t="str">
        <v>1 publié + 1 brouillon en base</v>
      </c>
      <c r="F13" s="1" t="str">
        <v>1) goto /conseils (anonyme)</v>
      </c>
      <c r="G13" s="1" t="str">
        <v>1 carte visible, brouillon absent du DOM</v>
      </c>
      <c r="H13" s="1" t="str">
        <v>Chromium</v>
      </c>
      <c r="I13" s="1" t="str">
        <v>e2e/web/cms/list-public.spec.ts</v>
      </c>
      <c r="J13" s="1" t="str">
        <v>OK</v>
      </c>
      <c r="K13" s="1" t="str">
        <v>Liste publique informations visible en anonyme — Playwright/Puppeteer Chrome ✓</v>
      </c>
    </row>
    <row r="14">
      <c r="A14" s="1" t="str">
        <v>CT-E2E-W-011</v>
      </c>
      <c r="B14" s="1" t="str">
        <v>INFO</v>
      </c>
      <c r="C14" s="1" t="str">
        <v>Détail d'un article</v>
      </c>
      <c r="D14" s="1" t="str">
        <v>Lecture d'un article publié</v>
      </c>
      <c r="E14" s="1" t="str">
        <v>Article 'stress' publié</v>
      </c>
      <c r="F14" s="1" t="str">
        <v>1) goto /conseils/stress</v>
      </c>
      <c r="G14" s="1" t="str">
        <v>Titre, contenu, auteur et date affichés ; meta SEO (title, description) présents</v>
      </c>
      <c r="H14" s="1" t="str">
        <v>Chromium</v>
      </c>
      <c r="I14" s="1" t="str">
        <v>e2e/web/cms/article-detail.spec.ts</v>
      </c>
      <c r="J14" s="1" t="str">
        <v>OK</v>
      </c>
      <c r="K14" s="1" t="str">
        <v>Détail article accessible — Playwright/Puppeteer Chrome ✓</v>
      </c>
    </row>
    <row r="15">
      <c r="A15" s="1" t="str">
        <v>CT-E2E-W-012</v>
      </c>
      <c r="B15" s="1" t="str">
        <v>INFO</v>
      </c>
      <c r="C15" s="1" t="str">
        <v>Création article par admin</v>
      </c>
      <c r="D15" s="1" t="str">
        <v>Admin crée et publie un article</v>
      </c>
      <c r="E15" s="1" t="str">
        <v>Admin connecté</v>
      </c>
      <c r="F15" s="1" t="str">
        <v>1) /admin/articles/new 2) remplir 3) cocher publié 4) submit</v>
      </c>
      <c r="G15" s="1" t="str">
        <v>Article visible publiquement après save</v>
      </c>
      <c r="H15" s="1" t="str">
        <v>Chromium</v>
      </c>
      <c r="I15" s="1" t="str">
        <v>e2e/web/admin/create-article.spec.ts</v>
      </c>
      <c r="J15" s="1" t="str">
        <v>Non joué</v>
      </c>
      <c r="K15" s="1" t="str">
        <v>Admin create article — test non encore rédigé</v>
      </c>
    </row>
    <row r="16">
      <c r="A16" s="1" t="str">
        <v>CT-E2E-W-013</v>
      </c>
      <c r="B16" s="1" t="str">
        <v>RGPD</v>
      </c>
      <c r="C16" s="1" t="str">
        <v>Suppression de compte</v>
      </c>
      <c r="D16" s="1" t="str">
        <v>User supprime son compte → déconnexion + 404 sur /dashboard</v>
      </c>
      <c r="E16" s="1" t="str">
        <v>User connecté</v>
      </c>
      <c r="F16" s="1" t="str">
        <v>1) /settings 2) Supprimer mon compte 3) saisir mdp pour confirmer</v>
      </c>
      <c r="G16" s="1" t="str">
        <v>Redirection /, cookie supprimé, goto /dashboard → /login</v>
      </c>
      <c r="H16" s="1" t="str">
        <v>Chromium</v>
      </c>
      <c r="I16" s="1" t="str">
        <v>e2e/web/users/delete-account.spec.ts</v>
      </c>
      <c r="J16" s="1" t="str">
        <v>Non joué</v>
      </c>
      <c r="K16" s="1" t="str">
        <v>RGPD delete account — non implémenté dans cette version</v>
      </c>
    </row>
    <row r="17">
      <c r="A17" s="1" t="str">
        <v>CT-E2E-W-014</v>
      </c>
      <c r="B17" s="1" t="str">
        <v>SECU</v>
      </c>
      <c r="C17" s="1" t="str">
        <v>Mot de passe faible refusé en UI</v>
      </c>
      <c r="D17" s="1" t="str">
        <v>Le front empêche la soumission avant API</v>
      </c>
      <c r="E17" s="1" t="str">
        <v>Aucune</v>
      </c>
      <c r="F17" s="1" t="str">
        <v>1) /register 2) password='abc'</v>
      </c>
      <c r="G17" s="1" t="str">
        <v>Message d'erreur sous le champ, bouton submit disabled</v>
      </c>
      <c r="H17" s="1" t="str">
        <v>Chromium</v>
      </c>
      <c r="I17" s="1" t="str">
        <v>e2e/web/auth/password-policy.spec.ts</v>
      </c>
      <c r="J17" s="1" t="str">
        <v>OK</v>
      </c>
      <c r="K17" s="1" t="str">
        <v>Mdp faible → .text-destructive visible — Playwright/Puppeteer Chrome ✓</v>
      </c>
    </row>
    <row r="18">
      <c r="A18" s="1" t="str">
        <v>CT-E2E-W-015</v>
      </c>
      <c r="B18" s="1" t="str">
        <v>SEO</v>
      </c>
      <c r="C18" s="1" t="str">
        <v>Server-Side Rendering</v>
      </c>
      <c r="D18" s="1" t="str">
        <v>Vérification du rendu SSR du module Informations</v>
      </c>
      <c r="E18" s="1" t="str">
        <v>1 article publié</v>
      </c>
      <c r="F18" s="1" t="str">
        <v>1) curl -s URL/conseils/stress | grep &lt;h1&gt;</v>
      </c>
      <c r="G18" s="1" t="str">
        <v>Le titre apparaît dans le HTML brut (SSR), pas seulement après hydratation</v>
      </c>
      <c r="H18" s="1" t="str">
        <v>n/a (curl)</v>
      </c>
      <c r="I18" s="1" t="str">
        <v>e2e/web/seo/ssr.spec.ts</v>
      </c>
      <c r="J18" s="1" t="str">
        <v>Non joué</v>
      </c>
      <c r="K18" s="1" t="str">
        <v>SSR check — curl test, non automatisé</v>
      </c>
    </row>
  </sheetData>
  <mergeCells count="1">
    <mergeCell ref="A1:K1"/>
  </mergeCells>
  <pageMargins left="0.75" right="0.75" top="1" bottom="1" header="0.511811023622047" footer="0.511811023622047"/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1" t="str">
        <v>Tests E2E Mobile — Maestro</v>
      </c>
    </row>
    <row r="3">
      <c r="A3" s="1" t="str">
        <v>ID</v>
      </c>
      <c r="B3" s="1" t="str">
        <v>Module</v>
      </c>
      <c r="C3" s="1" t="str">
        <v>Parcours</v>
      </c>
      <c r="D3" s="1" t="str">
        <v>Description</v>
      </c>
      <c r="E3" s="1" t="str">
        <v>Préconditions</v>
      </c>
      <c r="F3" s="1" t="str">
        <v>Flow Maestro (étapes)</v>
      </c>
      <c r="G3" s="1" t="str">
        <v>Résultat attendu</v>
      </c>
      <c r="H3" s="1" t="str">
        <v>Plateforme</v>
      </c>
      <c r="I3" s="1" t="str">
        <v>Fichier .yaml</v>
      </c>
      <c r="J3" s="1" t="str">
        <v>Statut</v>
      </c>
      <c r="K3" s="1" t="str">
        <v>Commentaire</v>
      </c>
    </row>
    <row r="4">
      <c r="A4" s="1" t="str">
        <v>CT-E2E-M-001</v>
      </c>
      <c r="B4" s="1" t="str">
        <v>AUTH</v>
      </c>
      <c r="C4" s="1" t="str">
        <v>Login + persistance SecureStore</v>
      </c>
      <c r="D4" s="1" t="str">
        <v>Login puis kill app → relancée, l'utilisateur reste connecté</v>
      </c>
      <c r="E4" s="1" t="str">
        <v>App installée, compte test existe</v>
      </c>
      <c r="F4" s="1" t="str">
        <v>1) launchApp 2) tap Email 3) input 4) tap Password 5) input 6) tap Connexion 7) assertVisible 'Bonjour' 8) killApp 9) launchApp 10) assertVisible 'Bonjour'</v>
      </c>
      <c r="G4" s="1" t="str">
        <v>Token relu depuis SecureStore, écran d'accueil affiché</v>
      </c>
      <c r="H4" s="1" t="str">
        <v>iOS + Android</v>
      </c>
      <c r="I4" s="1" t="str">
        <v>mobile/.maestro/auth/login-persistence.yaml</v>
      </c>
      <c r="J4" s="1" t="str">
        <v>Bloqué</v>
      </c>
      <c r="K4" s="1" t="str">
        <v>Application mobile Expo non développée</v>
      </c>
    </row>
    <row r="5">
      <c r="A5" s="1" t="str">
        <v>CT-E2E-M-002</v>
      </c>
      <c r="B5" s="1" t="str">
        <v>AUTH</v>
      </c>
      <c r="C5" s="1" t="str">
        <v>Logout efface SecureStore</v>
      </c>
      <c r="D5" s="1" t="str">
        <v>Logout puis relance → écran login</v>
      </c>
      <c r="E5" s="1" t="str">
        <v>User connecté</v>
      </c>
      <c r="F5" s="1" t="str">
        <v>1) tap Settings 2) tap Déconnexion 3) killApp 4) launchApp</v>
      </c>
      <c r="G5" s="1" t="str">
        <v>Écran 'Se connecter' affiché en premier</v>
      </c>
      <c r="H5" s="1" t="str">
        <v>iOS + Android</v>
      </c>
      <c r="I5" s="1" t="str">
        <v>mobile/.maestro/auth/logout.yaml</v>
      </c>
      <c r="J5" s="1" t="str">
        <v>Bloqué</v>
      </c>
      <c r="K5" s="1" t="str">
        <v>Application mobile Expo non développée</v>
      </c>
    </row>
    <row r="6">
      <c r="A6" s="1" t="str">
        <v>CT-E2E-M-003</v>
      </c>
      <c r="B6" s="1" t="str">
        <v>TRACKER</v>
      </c>
      <c r="C6" s="1" t="str">
        <v>Création d'une entrée</v>
      </c>
      <c r="D6" s="1" t="str">
        <v>Flow complet de saisie</v>
      </c>
      <c r="E6" s="1" t="str">
        <v>User connecté</v>
      </c>
      <c r="F6" s="1" t="str">
        <v>1) tap Tracker 2) tap + 3) sélectionner émotion 4) slider intensité 5) saisir note 6) Valider</v>
      </c>
      <c r="G6" s="1" t="str">
        <v>Toast succès, entrée visible dans la liste</v>
      </c>
      <c r="H6" s="1" t="str">
        <v>iOS + Android</v>
      </c>
      <c r="I6" s="1" t="str">
        <v>mobile/.maestro/tracker/create-entry.yaml</v>
      </c>
      <c r="J6" s="1" t="str">
        <v>Bloqué</v>
      </c>
      <c r="K6" s="1" t="str">
        <v>Module TRACKER supprimé + app mobile absente</v>
      </c>
    </row>
    <row r="7">
      <c r="A7" s="1" t="str">
        <v>CT-E2E-M-004</v>
      </c>
      <c r="B7" s="1" t="str">
        <v>TRACKER</v>
      </c>
      <c r="C7" s="1" t="str">
        <v>Édition d'une entrée</v>
      </c>
      <c r="D7" s="1" t="str">
        <v>Modification depuis la liste</v>
      </c>
      <c r="E7" s="1" t="str">
        <v>Au moins 1 entrée</v>
      </c>
      <c r="F7" s="1" t="str">
        <v>1) Tracker 2) tap entrée 3) Modifier 4) éditer note 5) Sauvegarder</v>
      </c>
      <c r="G7" s="1" t="str">
        <v>Note mise à jour dans la liste</v>
      </c>
      <c r="H7" s="1" t="str">
        <v>iOS + Android</v>
      </c>
      <c r="I7" s="1" t="str">
        <v>mobile/.maestro/tracker/edit-entry.yaml</v>
      </c>
      <c r="J7" s="1" t="str">
        <v>Bloqué</v>
      </c>
      <c r="K7" s="1" t="str">
        <v>Module TRACKER supprimé + app mobile absente</v>
      </c>
    </row>
    <row r="8">
      <c r="A8" s="1" t="str">
        <v>CT-E2E-M-005</v>
      </c>
      <c r="B8" s="1" t="str">
        <v>TRACKER</v>
      </c>
      <c r="C8" s="1" t="str">
        <v>Suppression d'une entrée</v>
      </c>
      <c r="D8" s="1" t="str">
        <v>Suppression avec confirmation</v>
      </c>
      <c r="E8" s="1" t="str">
        <v>Au moins 1 entrée</v>
      </c>
      <c r="F8" s="1" t="str">
        <v>1) Tracker 2) swipe entrée 3) Supprimer 4) Confirmer</v>
      </c>
      <c r="G8" s="1" t="str">
        <v>Entrée disparue</v>
      </c>
      <c r="H8" s="1" t="str">
        <v>iOS + Android</v>
      </c>
      <c r="I8" s="1" t="str">
        <v>mobile/.maestro/tracker/delete-entry.yaml</v>
      </c>
      <c r="J8" s="1" t="str">
        <v>Bloqué</v>
      </c>
      <c r="K8" s="1" t="str">
        <v>Module TRACKER supprimé + app mobile absente</v>
      </c>
    </row>
    <row r="9">
      <c r="A9" s="1" t="str">
        <v>CT-E2E-M-006</v>
      </c>
      <c r="B9" s="1" t="str">
        <v>TRACKER</v>
      </c>
      <c r="C9" s="1" t="str">
        <v>Statistiques 7j/30j/90j</v>
      </c>
      <c r="D9" s="1" t="str">
        <v>Bascule entre les périodes</v>
      </c>
      <c r="E9" s="1" t="str">
        <v>User avec 60+ entrées</v>
      </c>
      <c r="F9" s="1" t="str">
        <v>1) Stats 2) tap '7j' 3) assertVisible graph 4) tap '30j' 5) tap '90j'</v>
      </c>
      <c r="G9" s="1" t="str">
        <v>Graphique se met à jour à chaque tap sans erreur visuelle</v>
      </c>
      <c r="H9" s="1" t="str">
        <v>iOS + Android</v>
      </c>
      <c r="I9" s="1" t="str">
        <v>mobile/.maestro/tracker/stats-toggle.yaml</v>
      </c>
      <c r="J9" s="1" t="str">
        <v>Bloqué</v>
      </c>
      <c r="K9" s="1" t="str">
        <v>Module TRACKER supprimé + app mobile absente</v>
      </c>
    </row>
    <row r="10">
      <c r="A10" s="1" t="str">
        <v>CT-E2E-M-007</v>
      </c>
      <c r="B10" s="1" t="str">
        <v>INFO</v>
      </c>
      <c r="C10" s="1" t="str">
        <v>Liste des conseils (offline-friendly)</v>
      </c>
      <c r="D10" s="1" t="str">
        <v>Affichage de la liste publique</v>
      </c>
      <c r="E10" s="1" t="str">
        <v>User connecté ou non</v>
      </c>
      <c r="F10" s="1" t="str">
        <v>1) tap Conseils 2) assertVisible 'Stress' (article publié)</v>
      </c>
      <c r="G10" s="1" t="str">
        <v>Liste rendue, brouillons absents</v>
      </c>
      <c r="H10" s="1" t="str">
        <v>iOS + Android</v>
      </c>
      <c r="I10" s="1" t="str">
        <v>mobile/.maestro/cms/list.yaml</v>
      </c>
      <c r="J10" s="1" t="str">
        <v>Bloqué</v>
      </c>
      <c r="K10" s="1" t="str">
        <v>Application mobile Expo non développée</v>
      </c>
    </row>
    <row r="11">
      <c r="A11" s="1" t="str">
        <v>CT-E2E-M-008</v>
      </c>
      <c r="B11" s="1" t="str">
        <v>INFO</v>
      </c>
      <c r="C11" s="1" t="str">
        <v>Détail article</v>
      </c>
      <c r="D11" s="1" t="str">
        <v>Ouverture d'un article</v>
      </c>
      <c r="E11" s="1" t="str">
        <v>Article 'stress' publié</v>
      </c>
      <c r="F11" s="1" t="str">
        <v>1) Conseils 2) tap 'Stress'</v>
      </c>
      <c r="G11" s="1" t="str">
        <v>Titre, image de couverture et contenu visibles</v>
      </c>
      <c r="H11" s="1" t="str">
        <v>iOS + Android</v>
      </c>
      <c r="I11" s="1" t="str">
        <v>mobile/.maestro/cms/detail.yaml</v>
      </c>
      <c r="J11" s="1" t="str">
        <v>Bloqué</v>
      </c>
      <c r="K11" s="1" t="str">
        <v>Application mobile Expo non développée</v>
      </c>
    </row>
    <row r="12">
      <c r="A12" s="1" t="str">
        <v>CT-E2E-M-009</v>
      </c>
      <c r="B12" s="1" t="str">
        <v>AUTH</v>
      </c>
      <c r="C12" s="1" t="str">
        <v>Refus de mot de passe faible</v>
      </c>
      <c r="D12" s="1" t="str">
        <v>Le formulaire mobile applique la même policy</v>
      </c>
      <c r="E12" s="1" t="str">
        <v>Aucune</v>
      </c>
      <c r="F12" s="1" t="str">
        <v>1) Inscription 2) password='abc' 3) tap Valider</v>
      </c>
      <c r="G12" s="1" t="str">
        <v>Message d'erreur affiché, pas de requête réseau envoyée (interceptée)</v>
      </c>
      <c r="H12" s="1" t="str">
        <v>iOS + Android</v>
      </c>
      <c r="I12" s="1" t="str">
        <v>mobile/.maestro/auth/weak-password.yaml</v>
      </c>
      <c r="J12" s="1" t="str">
        <v>Bloqué</v>
      </c>
      <c r="K12" s="1" t="str">
        <v>Application mobile Expo non développée</v>
      </c>
    </row>
    <row r="13">
      <c r="A13" s="1" t="str">
        <v>CT-E2E-M-010</v>
      </c>
      <c r="B13" s="1" t="str">
        <v>SECU</v>
      </c>
      <c r="C13" s="1" t="str">
        <v>Lock du SecureStore au logout</v>
      </c>
      <c r="D13" s="1" t="str">
        <v>Vérifie qu'après logout aucun token ne traîne</v>
      </c>
      <c r="E13" s="1" t="str">
        <v>User connecté</v>
      </c>
      <c r="F13" s="1" t="str">
        <v>1) Settings → Déconnexion 2) script: lire SecureStore key 'authToken'</v>
      </c>
      <c r="G13" s="1" t="str">
        <v>Valeur null / absente</v>
      </c>
      <c r="H13" s="1" t="str">
        <v>iOS + Android</v>
      </c>
      <c r="I13" s="1" t="str">
        <v>mobile/.maestro/security/secure-store-clear.yaml</v>
      </c>
      <c r="J13" s="1" t="str">
        <v>Bloqué</v>
      </c>
      <c r="K13" s="1" t="str">
        <v>Application mobile Expo non développée</v>
      </c>
    </row>
  </sheetData>
  <mergeCells count="1">
    <mergeCell ref="A1:K1"/>
  </mergeCells>
  <pageMargins left="0.75" right="0.75" top="1" bottom="1" header="0.511811023622047" footer="0.511811023622047"/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7"/>
  <sheetViews>
    <sheetView workbookViewId="0" rightToLeft="0"/>
  </sheetViews>
  <sheetData>
    <row r="1">
      <c r="A1" s="1" t="str">
        <v>Recette Manuelle — Scénarios à exécuter par le testeur</v>
      </c>
    </row>
    <row r="3">
      <c r="A3" s="1" t="str">
        <v>ID</v>
      </c>
      <c r="B3" s="1" t="str">
        <v>Module</v>
      </c>
      <c r="C3" s="1" t="str">
        <v>Acteur</v>
      </c>
      <c r="D3" s="1" t="str">
        <v>Titre du scénario</v>
      </c>
      <c r="E3" s="1" t="str">
        <v>Préconditions</v>
      </c>
      <c r="F3" s="1" t="str">
        <v>Étapes détaillées</v>
      </c>
      <c r="G3" s="1" t="str">
        <v>Résultat attendu</v>
      </c>
      <c r="H3" s="1" t="str">
        <v>Sévérité</v>
      </c>
      <c r="I3" s="1" t="str">
        <v>Priorité</v>
      </c>
      <c r="J3" s="1" t="str">
        <v>Résultat observé</v>
      </c>
      <c r="K3" s="1" t="str">
        <v>Statut</v>
      </c>
      <c r="L3" s="1" t="str">
        <v>Testeur</v>
      </c>
      <c r="M3" s="1" t="str">
        <v>Date</v>
      </c>
      <c r="N3" s="1" t="str">
        <v>Commentaire</v>
      </c>
    </row>
    <row r="4" xml:space="preserve">
      <c r="A4" s="1" t="str">
        <v>CR-AUTH-001</v>
      </c>
      <c r="B4" s="1" t="str">
        <v>AUTH</v>
      </c>
      <c r="C4" s="1" t="str">
        <v>Visiteur</v>
      </c>
      <c r="D4" s="1" t="str">
        <v>Création de compte nominale</v>
      </c>
      <c r="E4" s="1" t="str">
        <v>Aucune</v>
      </c>
      <c r="F4" s="1" t="str" xml:space="preserve">
        <v xml:space="preserve">1) Aller sur /register
2) Renseigner email, nom, prénom, mot de passe conforme
3) Cliquer 'Créer'</v>
      </c>
      <c r="G4" s="1" t="str">
        <v>Compte créé, redirection vers le tableau de bord, prénom affiché en haut à droite</v>
      </c>
      <c r="H4" s="1" t="str">
        <v>Bloquante</v>
      </c>
      <c r="I4" s="1" t="str">
        <v>Haute</v>
      </c>
      <c r="K4" s="1" t="str">
        <v>Non joué</v>
      </c>
    </row>
    <row r="5" xml:space="preserve">
      <c r="A5" s="1" t="str">
        <v>CR-AUTH-002</v>
      </c>
      <c r="B5" s="1" t="str">
        <v>AUTH</v>
      </c>
      <c r="C5" s="1" t="str">
        <v>Visiteur</v>
      </c>
      <c r="D5" s="1" t="str">
        <v>Création de compte — mot de passe non conforme</v>
      </c>
      <c r="E5" s="1" t="str">
        <v>Aucune</v>
      </c>
      <c r="F5" s="1" t="str" xml:space="preserve">
        <v xml:space="preserve">1) /register
2) Mot de passe 'abc'
3) Soumettre</v>
      </c>
      <c r="G5" s="1" t="str">
        <v>Message d'erreur explicite, aucune création en base</v>
      </c>
      <c r="H5" s="1" t="str">
        <v>Majeure</v>
      </c>
      <c r="I5" s="1" t="str">
        <v>Haute</v>
      </c>
      <c r="K5" s="1" t="str">
        <v>Non joué</v>
      </c>
    </row>
    <row r="6" xml:space="preserve">
      <c r="A6" s="1" t="str">
        <v>CR-AUTH-003</v>
      </c>
      <c r="B6" s="1" t="str">
        <v>AUTH</v>
      </c>
      <c r="C6" s="1" t="str">
        <v>Utilisateur</v>
      </c>
      <c r="D6" s="1" t="str">
        <v>Connexion + Déconnexion</v>
      </c>
      <c r="E6" s="1" t="str">
        <v>Compte existant</v>
      </c>
      <c r="F6" s="1" t="str" xml:space="preserve">
        <v xml:space="preserve">1) /login
2) Credentials valides
3) Naviguer sur le dashboard
4) Cliquer 'Déconnexion'</v>
      </c>
      <c r="G6" s="1" t="str">
        <v>Cookie supprimé, retour sur /login</v>
      </c>
      <c r="H6" s="1" t="str">
        <v>Bloquante</v>
      </c>
      <c r="I6" s="1" t="str">
        <v>Haute</v>
      </c>
      <c r="K6" s="1" t="str">
        <v>Non joué</v>
      </c>
    </row>
    <row r="7">
      <c r="A7" s="1" t="str">
        <v>CR-AUTH-004</v>
      </c>
      <c r="B7" s="1" t="str">
        <v>AUTH</v>
      </c>
      <c r="C7" s="1" t="str">
        <v>Utilisateur</v>
      </c>
      <c r="D7" s="1" t="str">
        <v>Mot de passe oublié (si implémenté)</v>
      </c>
      <c r="E7" s="1" t="str">
        <v>Compte existant</v>
      </c>
      <c r="F7" s="1" t="str">
        <v>1) /login → 'Mot de passe oublié' 2) Renseigner email 3) Vérifier réception du mail</v>
      </c>
      <c r="G7" s="1" t="str">
        <v>Email reçu avec lien de réinitialisation valide 30 min</v>
      </c>
      <c r="H7" s="1" t="str">
        <v>Majeure</v>
      </c>
      <c r="I7" s="1" t="str">
        <v>Moyenne</v>
      </c>
      <c r="K7" s="1" t="str">
        <v>Non joué</v>
      </c>
    </row>
    <row r="8" xml:space="preserve">
      <c r="A8" s="1" t="str">
        <v>CR-JRN-001</v>
      </c>
      <c r="B8" s="1" t="str">
        <v>TRACKER</v>
      </c>
      <c r="C8" s="1" t="str">
        <v>Utilisateur</v>
      </c>
      <c r="D8" s="1" t="str">
        <v>Ajout d'une entrée complète</v>
      </c>
      <c r="E8" s="1" t="str">
        <v>User connecté</v>
      </c>
      <c r="F8" s="1" t="str" xml:space="preserve">
        <v xml:space="preserve">1) Tracker → +
2) Choisir 'Tristesse' (cat. 1) → 'Mélancolie' (cat. 2)
3) Intensité 3
4) Tag 'Famille'
5) Note de 50 caractères
6) Valider</v>
      </c>
      <c r="G8" s="1" t="str">
        <v>Entrée visible dans la liste avec note lisible</v>
      </c>
      <c r="H8" s="1" t="str">
        <v>Bloquante</v>
      </c>
      <c r="I8" s="1" t="str">
        <v>Haute</v>
      </c>
      <c r="K8" s="1" t="str">
        <v>Non joué</v>
      </c>
    </row>
    <row r="9" xml:space="preserve">
      <c r="A9" s="1" t="str">
        <v>CR-JRN-002</v>
      </c>
      <c r="B9" s="1" t="str">
        <v>TRACKER</v>
      </c>
      <c r="C9" s="1" t="str">
        <v>Utilisateur</v>
      </c>
      <c r="D9" s="1" t="str">
        <v>Modification d'une entrée</v>
      </c>
      <c r="E9" s="1" t="str">
        <v>1 entrée existante</v>
      </c>
      <c r="F9" s="1" t="str" xml:space="preserve">
        <v xml:space="preserve">1) Tracker → entrée → Modifier
2) Changer la note
3) Sauvegarder</v>
      </c>
      <c r="G9" s="1" t="str">
        <v>Nouvelle note affichée, ancienne perdue</v>
      </c>
      <c r="H9" s="1" t="str">
        <v>Majeure</v>
      </c>
      <c r="I9" s="1" t="str">
        <v>Haute</v>
      </c>
      <c r="K9" s="1" t="str">
        <v>Non joué</v>
      </c>
    </row>
    <row r="10" xml:space="preserve">
      <c r="A10" s="1" t="str">
        <v>CR-JRN-003</v>
      </c>
      <c r="B10" s="1" t="str">
        <v>TRACKER</v>
      </c>
      <c r="C10" s="1" t="str">
        <v>Utilisateur</v>
      </c>
      <c r="D10" s="1" t="str">
        <v>Suppression d'une entrée</v>
      </c>
      <c r="E10" s="1" t="str">
        <v>1 entrée existante</v>
      </c>
      <c r="F10" s="1" t="str" xml:space="preserve">
        <v xml:space="preserve">1) Tracker → entrée → Supprimer
2) Confirmer</v>
      </c>
      <c r="G10" s="1" t="str">
        <v>Liste mise à jour, entrée absente</v>
      </c>
      <c r="H10" s="1" t="str">
        <v>Majeure</v>
      </c>
      <c r="I10" s="1" t="str">
        <v>Haute</v>
      </c>
      <c r="K10" s="1" t="str">
        <v>Non joué</v>
      </c>
    </row>
    <row r="11">
      <c r="A11" s="1" t="str">
        <v>CR-JRN-004</v>
      </c>
      <c r="B11" s="1" t="str">
        <v>TRACKER</v>
      </c>
      <c r="C11" s="1" t="str">
        <v>Utilisateur</v>
      </c>
      <c r="D11" s="1" t="str">
        <v>Note de 2000 caractères acceptée</v>
      </c>
      <c r="E11" s="1" t="str">
        <v>User connecté</v>
      </c>
      <c r="F11" s="1" t="str">
        <v>1) Tracker → + 2) Note de 2000 caractères 3) Valider</v>
      </c>
      <c r="G11" s="1" t="str">
        <v>Acceptée, déchiffrée et affichée intégralement</v>
      </c>
      <c r="H11" s="1" t="str">
        <v>Mineure</v>
      </c>
      <c r="I11" s="1" t="str">
        <v>Moyenne</v>
      </c>
      <c r="K11" s="1" t="str">
        <v>Non joué</v>
      </c>
    </row>
    <row r="12">
      <c r="A12" s="1" t="str">
        <v>CR-JRN-005</v>
      </c>
      <c r="B12" s="1" t="str">
        <v>TRACKER</v>
      </c>
      <c r="C12" s="1" t="str">
        <v>Utilisateur</v>
      </c>
      <c r="D12" s="1" t="str">
        <v>Note de 2001 caractères refusée</v>
      </c>
      <c r="E12" s="1" t="str">
        <v>User connecté</v>
      </c>
      <c r="F12" s="1" t="str">
        <v>1) Tracker → + 2) Note de 2001 caractères 3) Valider</v>
      </c>
      <c r="G12" s="1" t="str">
        <v>Message d'erreur, pas de création</v>
      </c>
      <c r="H12" s="1" t="str">
        <v>Mineure</v>
      </c>
      <c r="I12" s="1" t="str">
        <v>Moyenne</v>
      </c>
      <c r="K12" s="1" t="str">
        <v>Non joué</v>
      </c>
    </row>
    <row r="13">
      <c r="A13" s="1" t="str">
        <v>CR-STAT-001</v>
      </c>
      <c r="B13" s="1" t="str">
        <v>TRACKER</v>
      </c>
      <c r="C13" s="1" t="str">
        <v>Utilisateur</v>
      </c>
      <c r="D13" s="1" t="str">
        <v>Statistiques — vue mensuelle</v>
      </c>
      <c r="E13" s="1" t="str">
        <v>30+ entrées sur 60 jours</v>
      </c>
      <c r="F13" s="1" t="str">
        <v>1) Stats 2) Sélectionner 'Mois'</v>
      </c>
      <c r="G13" s="1" t="str">
        <v>Graphique sur 30 jours, moyenne intensité affichée</v>
      </c>
      <c r="H13" s="1" t="str">
        <v>Majeure</v>
      </c>
      <c r="I13" s="1" t="str">
        <v>Moyenne</v>
      </c>
      <c r="K13" s="1" t="str">
        <v>Non joué</v>
      </c>
    </row>
    <row r="14">
      <c r="A14" s="1" t="str">
        <v>CR-STAT-002</v>
      </c>
      <c r="B14" s="1" t="str">
        <v>TRACKER</v>
      </c>
      <c r="C14" s="1" t="str">
        <v>Utilisateur</v>
      </c>
      <c r="D14" s="1" t="str">
        <v>Statistiques — vue trimestre</v>
      </c>
      <c r="E14" s="1" t="str">
        <v>60+ entrées</v>
      </c>
      <c r="F14" s="1" t="str">
        <v>1) Stats 2) Sélectionner 'Trimestre'</v>
      </c>
      <c r="G14" s="1" t="str">
        <v>Graphique 90 jours sans erreur</v>
      </c>
      <c r="H14" s="1" t="str">
        <v>Mineure</v>
      </c>
      <c r="I14" s="1" t="str">
        <v>Basse</v>
      </c>
      <c r="K14" s="1" t="str">
        <v>Non joué</v>
      </c>
    </row>
    <row r="15">
      <c r="A15" s="1" t="str">
        <v>CR-INFO-001</v>
      </c>
      <c r="B15" s="1" t="str">
        <v>INFO</v>
      </c>
      <c r="C15" s="1" t="str">
        <v>Visiteur</v>
      </c>
      <c r="D15" s="1" t="str">
        <v>Consultation de la liste publique</v>
      </c>
      <c r="E15" s="1" t="str">
        <v>1 article publié</v>
      </c>
      <c r="F15" s="1" t="str">
        <v>1) /conseils (sans login)</v>
      </c>
      <c r="G15" s="1" t="str">
        <v>Article visible, brouillons absents, pas de bouton 'Modifier'</v>
      </c>
      <c r="H15" s="1" t="str">
        <v>Bloquante</v>
      </c>
      <c r="I15" s="1" t="str">
        <v>Haute</v>
      </c>
      <c r="K15" s="1" t="str">
        <v>Non joué</v>
      </c>
    </row>
    <row r="16">
      <c r="A16" s="1" t="str">
        <v>CR-INFO-002</v>
      </c>
      <c r="B16" s="1" t="str">
        <v>INFO</v>
      </c>
      <c r="C16" s="1" t="str">
        <v>Visiteur</v>
      </c>
      <c r="D16" s="1" t="str">
        <v>Lecture d'un article</v>
      </c>
      <c r="E16" s="1" t="str">
        <v>Article publié</v>
      </c>
      <c r="F16" s="1" t="str">
        <v>1) /conseils/stress</v>
      </c>
      <c r="G16" s="1" t="str">
        <v>Titre, contenu, auteur, image affichés ; URL propre</v>
      </c>
      <c r="H16" s="1" t="str">
        <v>Majeure</v>
      </c>
      <c r="I16" s="1" t="str">
        <v>Haute</v>
      </c>
      <c r="K16" s="1" t="str">
        <v>Non joué</v>
      </c>
    </row>
    <row r="17" xml:space="preserve">
      <c r="A17" s="1" t="str">
        <v>CR-ADM-001</v>
      </c>
      <c r="B17" s="1" t="str">
        <v>ADMIN</v>
      </c>
      <c r="C17" s="1" t="str">
        <v>Administrateur</v>
      </c>
      <c r="D17" s="1" t="str">
        <v>Création d'un article</v>
      </c>
      <c r="E17" s="1" t="str">
        <v>Admin connecté</v>
      </c>
      <c r="F17" s="1" t="str" xml:space="preserve">
        <v xml:space="preserve">1) /admin/articles/new
2) Remplir formulaire
3) Cocher 'Publié'
4) Enregistrer</v>
      </c>
      <c r="G17" s="1" t="str">
        <v>Article créé, visible en public immédiatement</v>
      </c>
      <c r="H17" s="1" t="str">
        <v>Bloquante</v>
      </c>
      <c r="I17" s="1" t="str">
        <v>Haute</v>
      </c>
      <c r="K17" s="1" t="str">
        <v>Non joué</v>
      </c>
    </row>
    <row r="18">
      <c r="A18" s="1" t="str">
        <v>CR-ADM-002</v>
      </c>
      <c r="B18" s="1" t="str">
        <v>ADMIN</v>
      </c>
      <c r="C18" s="1" t="str">
        <v>Administrateur</v>
      </c>
      <c r="D18" s="1" t="str">
        <v>Désactivation d'un article (passage en brouillon)</v>
      </c>
      <c r="E18" s="1" t="str">
        <v>1 article publié</v>
      </c>
      <c r="F18" s="1" t="str">
        <v>1) /admin/articles 2) Décocher 'Publié' 3) Sauvegarder</v>
      </c>
      <c r="G18" s="1" t="str">
        <v>Article disparaît de /conseils public</v>
      </c>
      <c r="H18" s="1" t="str">
        <v>Majeure</v>
      </c>
      <c r="I18" s="1" t="str">
        <v>Haute</v>
      </c>
      <c r="K18" s="1" t="str">
        <v>Non joué</v>
      </c>
    </row>
    <row r="19">
      <c r="A19" s="1" t="str">
        <v>CR-ADM-003</v>
      </c>
      <c r="B19" s="1" t="str">
        <v>ADMIN</v>
      </c>
      <c r="C19" s="1" t="str">
        <v>Administrateur</v>
      </c>
      <c r="D19" s="1" t="str">
        <v>Bannir un utilisateur</v>
      </c>
      <c r="E19" s="1" t="str">
        <v>Admin + user cible</v>
      </c>
      <c r="F19" s="1" t="str">
        <v>1) /admin/utilisateurs 2) Bannir user 3) Confirmer</v>
      </c>
      <c r="G19" s="1" t="str">
        <v>Statut 'banni' affiché ; le user banni ne peut plus se connecter</v>
      </c>
      <c r="H19" s="1" t="str">
        <v>Bloquante</v>
      </c>
      <c r="I19" s="1" t="str">
        <v>Haute</v>
      </c>
      <c r="K19" s="1" t="str">
        <v>Non joué</v>
      </c>
    </row>
    <row r="20">
      <c r="A20" s="1" t="str">
        <v>CR-ADM-004</v>
      </c>
      <c r="B20" s="1" t="str">
        <v>ADMIN</v>
      </c>
      <c r="C20" s="1" t="str">
        <v>Administrateur</v>
      </c>
      <c r="D20" s="1" t="str">
        <v>Gestion du catalogue d'émotions (2 niveaux)</v>
      </c>
      <c r="E20" s="1" t="str">
        <v>Admin connecté</v>
      </c>
      <c r="F20" s="1" t="str">
        <v>1) /admin/emotions 2) Ajouter catégorie 'Joie' 3) Ajouter émotion 'Euphorie' rattachée</v>
      </c>
      <c r="G20" s="1" t="str">
        <v>Présentes dans le sélecteur du Tracker côté utilisateur</v>
      </c>
      <c r="H20" s="1" t="str">
        <v>Majeure</v>
      </c>
      <c r="I20" s="1" t="str">
        <v>Haute</v>
      </c>
      <c r="K20" s="1" t="str">
        <v>Non joué</v>
      </c>
    </row>
    <row r="21" xml:space="preserve">
      <c r="A21" s="1" t="str">
        <v>CR-SEC-001</v>
      </c>
      <c r="B21" s="1" t="str">
        <v>SECU</v>
      </c>
      <c r="C21" s="1" t="str">
        <v>Testeur recette</v>
      </c>
      <c r="D21" s="1" t="str">
        <v>Vérification chiffrement au repos</v>
      </c>
      <c r="E21" s="1" t="str">
        <v>Accès lecture seule à la DB</v>
      </c>
      <c r="F21" s="1" t="str" xml:space="preserve">
        <v xml:space="preserve">1) Créer entrée avec note 'TEST123'
2) SELECT note_encrypted FROM entries WHERE id=...</v>
      </c>
      <c r="G21" s="1" t="str">
        <v>Aucune occurrence de 'TEST123' en clair ; format iv:tag:cipher</v>
      </c>
      <c r="H21" s="1" t="str">
        <v>Bloquante</v>
      </c>
      <c r="I21" s="1" t="str">
        <v>Haute</v>
      </c>
      <c r="K21" s="1" t="str">
        <v>Non joué</v>
      </c>
    </row>
    <row r="22">
      <c r="A22" s="1" t="str">
        <v>CR-SEC-002</v>
      </c>
      <c r="B22" s="1" t="str">
        <v>SECU</v>
      </c>
      <c r="C22" s="1" t="str">
        <v>Testeur recette</v>
      </c>
      <c r="D22" s="1" t="str">
        <v>Admin ne peut pas lire les notes</v>
      </c>
      <c r="E22" s="1" t="str">
        <v>1 entrée user existante</v>
      </c>
      <c r="F22" s="1" t="str">
        <v>1) Login admin 2) /admin/utilisateurs/&lt;id&gt;/entries (ou équivalent)</v>
      </c>
      <c r="G22" s="1" t="str">
        <v>Interface ne propose jamais le contenu des notes</v>
      </c>
      <c r="H22" s="1" t="str">
        <v>Bloquante</v>
      </c>
      <c r="I22" s="1" t="str">
        <v>Haute</v>
      </c>
      <c r="K22" s="1" t="str">
        <v>Non joué</v>
      </c>
    </row>
    <row r="23">
      <c r="A23" s="1" t="str">
        <v>CR-SEC-003</v>
      </c>
      <c r="B23" s="1" t="str">
        <v>SECU</v>
      </c>
      <c r="C23" s="1" t="str">
        <v>Testeur recette</v>
      </c>
      <c r="D23" s="1" t="str">
        <v>Force brute login limitée</v>
      </c>
      <c r="E23" s="1" t="str">
        <v>Compte test</v>
      </c>
      <c r="F23" s="1" t="str">
        <v>1) 10 tentatives avec mauvais mdp</v>
      </c>
      <c r="G23" s="1" t="str">
        <v>Blocage / temporisation après N tentatives (rate-limit)</v>
      </c>
      <c r="H23" s="1" t="str">
        <v>Majeure</v>
      </c>
      <c r="I23" s="1" t="str">
        <v>Moyenne</v>
      </c>
      <c r="K23" s="1" t="str">
        <v>Non joué</v>
      </c>
    </row>
    <row r="24">
      <c r="A24" s="1" t="str">
        <v>CR-SEC-004</v>
      </c>
      <c r="B24" s="1" t="str">
        <v>SECU</v>
      </c>
      <c r="C24" s="1" t="str">
        <v>Testeur recette</v>
      </c>
      <c r="D24" s="1" t="str">
        <v>HTTPS forcé en production</v>
      </c>
      <c r="E24" s="1" t="str">
        <v>URL prod</v>
      </c>
      <c r="F24" s="1" t="str">
        <v>1) curl -I http://prod-url</v>
      </c>
      <c r="G24" s="1" t="str">
        <v>Redirection 301/308 vers https://</v>
      </c>
      <c r="H24" s="1" t="str">
        <v>Majeure</v>
      </c>
      <c r="I24" s="1" t="str">
        <v>Haute</v>
      </c>
      <c r="K24" s="1" t="str">
        <v>Non joué</v>
      </c>
    </row>
    <row r="25" xml:space="preserve">
      <c r="A25" s="1" t="str">
        <v>CR-RGPD-001</v>
      </c>
      <c r="B25" s="1" t="str">
        <v>RGPD</v>
      </c>
      <c r="C25" s="1" t="str">
        <v>Utilisateur</v>
      </c>
      <c r="D25" s="1" t="str">
        <v>Suppression de compte (droit à l'oubli)</v>
      </c>
      <c r="E25" s="1" t="str">
        <v>User connecté avec 5+ entrées</v>
      </c>
      <c r="F25" s="1" t="str" xml:space="preserve">
        <v xml:space="preserve">1) /settings → Supprimer
2) Saisir mdp
3) Confirmer modal</v>
      </c>
      <c r="G25" s="1" t="str">
        <v>Compte supprimé, entrées effacées en cascade, déconnexion automatique</v>
      </c>
      <c r="H25" s="1" t="str">
        <v>Bloquante</v>
      </c>
      <c r="I25" s="1" t="str">
        <v>Haute</v>
      </c>
      <c r="K25" s="1" t="str">
        <v>Non joué</v>
      </c>
    </row>
    <row r="26">
      <c r="A26" s="1" t="str">
        <v>CR-RGPD-002</v>
      </c>
      <c r="B26" s="1" t="str">
        <v>RGPD</v>
      </c>
      <c r="C26" s="1" t="str">
        <v>Utilisateur</v>
      </c>
      <c r="D26" s="1" t="str">
        <v>Consentement / mentions légales</v>
      </c>
      <c r="E26" s="1" t="str">
        <v>/register</v>
      </c>
      <c r="F26" s="1" t="str">
        <v>1) Vérifier présence d'un lien vers les mentions légales et politique de confidentialité</v>
      </c>
      <c r="G26" s="1" t="str">
        <v>Liens présents, accessibles, contenu à jour</v>
      </c>
      <c r="H26" s="1" t="str">
        <v>Majeure</v>
      </c>
      <c r="I26" s="1" t="str">
        <v>Moyenne</v>
      </c>
      <c r="K26" s="1" t="str">
        <v>Non joué</v>
      </c>
    </row>
    <row r="27">
      <c r="A27" s="1" t="str">
        <v>CR-RGPD-003</v>
      </c>
      <c r="B27" s="1" t="str">
        <v>RGPD</v>
      </c>
      <c r="C27" s="1" t="str">
        <v>Utilisateur</v>
      </c>
      <c r="D27" s="1" t="str">
        <v>Export des données personnelles</v>
      </c>
      <c r="E27" s="1" t="str">
        <v>User connecté</v>
      </c>
      <c r="F27" s="1" t="str">
        <v>1) /settings → Exporter mes données</v>
      </c>
      <c r="G27" s="1" t="str">
        <v>Fichier JSON contenant profil + entrées déchiffrées, téléchargement OK</v>
      </c>
      <c r="H27" s="1" t="str">
        <v>Majeure</v>
      </c>
      <c r="I27" s="1" t="str">
        <v>Moyenne</v>
      </c>
      <c r="K27" s="1" t="str">
        <v>Non joué</v>
      </c>
    </row>
    <row r="28" xml:space="preserve">
      <c r="A28" s="1" t="str">
        <v>CR-MOB-001</v>
      </c>
      <c r="B28" s="1" t="str">
        <v>MOBILE</v>
      </c>
      <c r="C28" s="1" t="str">
        <v>Utilisateur</v>
      </c>
      <c r="D28" s="1" t="str">
        <v>Connexion mobile + persistance</v>
      </c>
      <c r="E28" s="1" t="str">
        <v>App installée</v>
      </c>
      <c r="F28" s="1" t="str" xml:space="preserve">
        <v xml:space="preserve">1) Login
2) Kill app
3) Relancer</v>
      </c>
      <c r="G28" s="1" t="str">
        <v>Reste connecté</v>
      </c>
      <c r="H28" s="1" t="str">
        <v>Bloquante</v>
      </c>
      <c r="I28" s="1" t="str">
        <v>Haute</v>
      </c>
      <c r="K28" s="1" t="str">
        <v>Non joué</v>
      </c>
    </row>
    <row r="29" xml:space="preserve">
      <c r="A29" s="1" t="str">
        <v>CR-MOB-002</v>
      </c>
      <c r="B29" s="1" t="str">
        <v>MOBILE</v>
      </c>
      <c r="C29" s="1" t="str">
        <v>Utilisateur</v>
      </c>
      <c r="D29" s="1" t="str">
        <v>Saisie d'une entrée mobile</v>
      </c>
      <c r="E29" s="1" t="str">
        <v>User connecté mobile</v>
      </c>
      <c r="F29" s="1" t="str" xml:space="preserve">
        <v xml:space="preserve">1) Tracker → +
2) Émotion, intensité, note
3) Valider</v>
      </c>
      <c r="G29" s="1" t="str">
        <v>Entrée visible également sur la version Web (même backend)</v>
      </c>
      <c r="H29" s="1" t="str">
        <v>Bloquante</v>
      </c>
      <c r="I29" s="1" t="str">
        <v>Haute</v>
      </c>
      <c r="K29" s="1" t="str">
        <v>Non joué</v>
      </c>
    </row>
    <row r="30">
      <c r="A30" s="1" t="str">
        <v>CR-MOB-003</v>
      </c>
      <c r="B30" s="1" t="str">
        <v>MOBILE</v>
      </c>
      <c r="C30" s="1" t="str">
        <v>Utilisateur</v>
      </c>
      <c r="D30" s="1" t="str">
        <v>Synchronisation Web ↔ Mobile</v>
      </c>
      <c r="E30" s="1" t="str">
        <v>Entrée créée côté web</v>
      </c>
      <c r="F30" s="1" t="str">
        <v>1) Côté Mobile, pull-to-refresh sur Tracker</v>
      </c>
      <c r="G30" s="1" t="str">
        <v>L'entrée du Web apparaît côté Mobile</v>
      </c>
      <c r="H30" s="1" t="str">
        <v>Majeure</v>
      </c>
      <c r="I30" s="1" t="str">
        <v>Haute</v>
      </c>
      <c r="K30" s="1" t="str">
        <v>Non joué</v>
      </c>
    </row>
    <row r="31">
      <c r="A31" s="1" t="str">
        <v>CR-MOB-004</v>
      </c>
      <c r="B31" s="1" t="str">
        <v>MOBILE</v>
      </c>
      <c r="C31" s="1" t="str">
        <v>Utilisateur</v>
      </c>
      <c r="D31" s="1" t="str">
        <v>Coupure réseau pendant saisie</v>
      </c>
      <c r="E31" s="1" t="str">
        <v>Wi-Fi désactivé</v>
      </c>
      <c r="F31" s="1" t="str">
        <v>1) Tenter de créer une entrée</v>
      </c>
      <c r="G31" s="1" t="str">
        <v>Message d'erreur réseau clair, pas de crash</v>
      </c>
      <c r="H31" s="1" t="str">
        <v>Mineure</v>
      </c>
      <c r="I31" s="1" t="str">
        <v>Moyenne</v>
      </c>
      <c r="K31" s="1" t="str">
        <v>Non joué</v>
      </c>
    </row>
    <row r="32">
      <c r="A32" s="1" t="str">
        <v>CR-UI-001</v>
      </c>
      <c r="B32" s="1" t="str">
        <v>UI</v>
      </c>
      <c r="C32" s="1" t="str">
        <v>Testeur recette</v>
      </c>
      <c r="D32" s="1" t="str">
        <v>Responsive — mobile (375x667)</v>
      </c>
      <c r="E32" s="1" t="str">
        <v>Aucune</v>
      </c>
      <c r="F32" s="1" t="str">
        <v>1) DevTools → iPhone SE 2) parcourir les écrans clés</v>
      </c>
      <c r="G32" s="1" t="str">
        <v>Pas de scroll horizontal, lisibilité OK</v>
      </c>
      <c r="H32" s="1" t="str">
        <v>Mineure</v>
      </c>
      <c r="I32" s="1" t="str">
        <v>Moyenne</v>
      </c>
      <c r="K32" s="1" t="str">
        <v>Non joué</v>
      </c>
    </row>
    <row r="33">
      <c r="A33" s="1" t="str">
        <v>CR-UI-002</v>
      </c>
      <c r="B33" s="1" t="str">
        <v>UI</v>
      </c>
      <c r="C33" s="1" t="str">
        <v>Testeur recette</v>
      </c>
      <c r="D33" s="1" t="str">
        <v>Responsive — desktop (1920x1080)</v>
      </c>
      <c r="E33" s="1" t="str">
        <v>Aucune</v>
      </c>
      <c r="F33" s="1" t="str">
        <v>1) Plein écran 2) Parcours dashboard / tracker / admin</v>
      </c>
      <c r="G33" s="1" t="str">
        <v>Mise en page cohérente, pas d'éléments trop étirés</v>
      </c>
      <c r="H33" s="1" t="str">
        <v>Mineure</v>
      </c>
      <c r="I33" s="1" t="str">
        <v>Moyenne</v>
      </c>
      <c r="K33" s="1" t="str">
        <v>Non joué</v>
      </c>
    </row>
    <row r="34">
      <c r="A34" s="1" t="str">
        <v>CR-UI-003</v>
      </c>
      <c r="B34" s="1" t="str">
        <v>A11Y</v>
      </c>
      <c r="C34" s="1" t="str">
        <v>Testeur recette</v>
      </c>
      <c r="D34" s="1" t="str">
        <v>Navigation au clavier</v>
      </c>
      <c r="E34" s="1" t="str">
        <v>Aucune</v>
      </c>
      <c r="F34" s="1" t="str">
        <v>1) Tab à travers /login → /tracker/new</v>
      </c>
      <c r="G34" s="1" t="str">
        <v>Tous les champs accessibles, focus visible</v>
      </c>
      <c r="H34" s="1" t="str">
        <v>Mineure</v>
      </c>
      <c r="I34" s="1" t="str">
        <v>Moyenne</v>
      </c>
      <c r="K34" s="1" t="str">
        <v>Non joué</v>
      </c>
    </row>
    <row r="35">
      <c r="A35" s="1" t="str">
        <v>CR-PERF-001</v>
      </c>
      <c r="B35" s="1" t="str">
        <v>PERF</v>
      </c>
      <c r="C35" s="1" t="str">
        <v>Testeur recette</v>
      </c>
      <c r="D35" s="1" t="str">
        <v>Temps de chargement /conseils</v>
      </c>
      <c r="E35" s="1" t="str">
        <v>Connexion stable</v>
      </c>
      <c r="F35" s="1" t="str">
        <v>1) Lighthouse sur /conseils</v>
      </c>
      <c r="G35" s="1" t="str">
        <v>LCP &lt; 2.5s, Performance ≥ 85</v>
      </c>
      <c r="H35" s="1" t="str">
        <v>Mineure</v>
      </c>
      <c r="I35" s="1" t="str">
        <v>Basse</v>
      </c>
      <c r="K35" s="1" t="str">
        <v>Non joué</v>
      </c>
    </row>
    <row r="36">
      <c r="A36" s="1" t="str">
        <v>CR-PERF-002</v>
      </c>
      <c r="B36" s="1" t="str">
        <v>PERF</v>
      </c>
      <c r="C36" s="1" t="str">
        <v>Testeur recette</v>
      </c>
      <c r="D36" s="1" t="str">
        <v>Temps de réponse API stats</v>
      </c>
      <c r="E36" s="1" t="str">
        <v>User avec 100+ entrées</v>
      </c>
      <c r="F36" s="1" t="str">
        <v>1) GET /api/entries/stats?period=year (chrono)</v>
      </c>
      <c r="G36" s="1" t="str">
        <v>Réponse &lt; 500 ms</v>
      </c>
      <c r="H36" s="1" t="str">
        <v>Mineure</v>
      </c>
      <c r="I36" s="1" t="str">
        <v>Basse</v>
      </c>
      <c r="K36" s="1" t="str">
        <v>Non joué</v>
      </c>
    </row>
    <row r="37">
      <c r="A37" s="1" t="str">
        <v>CR-DEPLOY-001</v>
      </c>
      <c r="B37" s="1" t="str">
        <v>DEPLOY</v>
      </c>
      <c r="C37" s="1" t="str">
        <v>Testeur recette</v>
      </c>
      <c r="D37" s="1" t="str">
        <v>Déploiement Dokploy</v>
      </c>
      <c r="E37" s="1" t="str">
        <v>Push sur main</v>
      </c>
      <c r="F37" s="1" t="str">
        <v>1) Vérifier déclenchement Dokploy 2) Vérifier nouvelle version en ligne</v>
      </c>
      <c r="G37" s="1" t="str">
        <v>Build OK, certificat SSL valide, version mise à jour</v>
      </c>
      <c r="H37" s="1" t="str">
        <v>Bloquante</v>
      </c>
      <c r="I37" s="1" t="str">
        <v>Haute</v>
      </c>
      <c r="K37" s="1" t="str">
        <v>Non joué</v>
      </c>
    </row>
  </sheetData>
  <mergeCells count="1">
    <mergeCell ref="A1:N1"/>
  </mergeCells>
  <pageMargins left="0.75" right="0.75" top="1" bottom="1" header="0.511811023622047" footer="0.511811023622047"/>
  <ignoredErrors>
    <ignoredError numberStoredAsText="1" sqref="A1:N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s="1" t="str">
        <v>Suivi des Anomalies</v>
      </c>
    </row>
    <row r="3">
      <c r="A3" s="1" t="str">
        <v>ID</v>
      </c>
      <c r="B3" s="1" t="str">
        <v>Test concerné</v>
      </c>
      <c r="C3" s="1" t="str">
        <v>Module</v>
      </c>
      <c r="D3" s="1" t="str">
        <v>Titre</v>
      </c>
      <c r="E3" s="1" t="str">
        <v>Description</v>
      </c>
      <c r="F3" s="1" t="str">
        <v>Étapes pour reproduire</v>
      </c>
      <c r="G3" s="1" t="str">
        <v>Sévérité</v>
      </c>
      <c r="H3" s="1" t="str">
        <v>Statut</v>
      </c>
      <c r="I3" s="1" t="str">
        <v>Assigné à</v>
      </c>
      <c r="J3" s="1" t="str">
        <v>Date détection</v>
      </c>
      <c r="K3" s="1" t="str">
        <v>Date résolution</v>
      </c>
      <c r="L3" s="1" t="str">
        <v>Commentaire</v>
      </c>
    </row>
    <row r="4">
      <c r="A4" s="1" t="str">
        <v>AN-001</v>
      </c>
      <c r="H4" s="1" t="str">
        <v>Ouverte</v>
      </c>
    </row>
    <row r="5">
      <c r="A5" s="1" t="str">
        <v>AN-002</v>
      </c>
      <c r="H5" s="1" t="str">
        <v>Ouverte</v>
      </c>
    </row>
    <row r="6">
      <c r="A6" s="1" t="str">
        <v>AN-003</v>
      </c>
      <c r="H6" s="1" t="str">
        <v>Ouverte</v>
      </c>
    </row>
    <row r="7">
      <c r="A7" s="1" t="str">
        <v>AN-004</v>
      </c>
      <c r="H7" s="1" t="str">
        <v>Non ouvert</v>
      </c>
    </row>
    <row r="8">
      <c r="A8" s="1" t="str">
        <v>AN-005</v>
      </c>
      <c r="H8" s="1" t="str">
        <v>Non ouvert</v>
      </c>
    </row>
    <row r="9">
      <c r="A9" s="1" t="str">
        <v>AN-006</v>
      </c>
      <c r="H9" s="1" t="str">
        <v>Non ouvert</v>
      </c>
    </row>
    <row r="10">
      <c r="A10" s="1" t="str">
        <v>AN-007</v>
      </c>
      <c r="H10" s="1" t="str">
        <v>Non ouvert</v>
      </c>
    </row>
    <row r="11">
      <c r="A11" s="1" t="str">
        <v>AN-008</v>
      </c>
      <c r="H11" s="1" t="str">
        <v>Non ouvert</v>
      </c>
    </row>
    <row r="12">
      <c r="A12" s="1" t="str">
        <v>AN-009</v>
      </c>
      <c r="H12" s="1" t="str">
        <v>Non ouvert</v>
      </c>
    </row>
    <row r="13">
      <c r="A13" s="1" t="str">
        <v>AN-010</v>
      </c>
      <c r="H13" s="1" t="str">
        <v>Non ouvert</v>
      </c>
    </row>
    <row r="14">
      <c r="A14" s="1" t="str">
        <v>AN-011</v>
      </c>
      <c r="H14" s="1" t="str">
        <v>Non ouvert</v>
      </c>
    </row>
    <row r="15">
      <c r="A15" s="1" t="str">
        <v>AN-012</v>
      </c>
      <c r="H15" s="1" t="str">
        <v>Non ouvert</v>
      </c>
    </row>
    <row r="16">
      <c r="A16" s="1" t="str">
        <v>AN-013</v>
      </c>
      <c r="H16" s="1" t="str">
        <v>Non ouvert</v>
      </c>
    </row>
    <row r="17">
      <c r="A17" s="1" t="str">
        <v>AN-014</v>
      </c>
      <c r="H17" s="1" t="str">
        <v>Non ouvert</v>
      </c>
    </row>
    <row r="18">
      <c r="A18" s="1" t="str">
        <v>AN-015</v>
      </c>
      <c r="H18" s="1" t="str">
        <v>Non ouvert</v>
      </c>
    </row>
    <row r="19">
      <c r="A19" s="1" t="str">
        <v>AN-016</v>
      </c>
      <c r="H19" s="1" t="str">
        <v>Non ouvert</v>
      </c>
    </row>
    <row r="20">
      <c r="A20" s="1" t="str">
        <v>AN-017</v>
      </c>
      <c r="H20" s="1" t="str">
        <v>Non ouvert</v>
      </c>
    </row>
    <row r="21">
      <c r="A21" s="1" t="str">
        <v>AN-018</v>
      </c>
      <c r="H21" s="1" t="str">
        <v>Non ouvert</v>
      </c>
    </row>
    <row r="22">
      <c r="A22" s="1" t="str">
        <v>AN-019</v>
      </c>
      <c r="H22" s="1" t="str">
        <v>Non ouvert</v>
      </c>
    </row>
    <row r="23">
      <c r="A23" s="1" t="str">
        <v>AN-020</v>
      </c>
      <c r="H23" s="1" t="str">
        <v>Non ouvert</v>
      </c>
    </row>
    <row r="24">
      <c r="A24" s="1" t="str">
        <v>AN-021</v>
      </c>
      <c r="H24" s="1" t="str">
        <v>Non ouvert</v>
      </c>
    </row>
    <row r="25">
      <c r="A25" s="1" t="str">
        <v>AN-022</v>
      </c>
      <c r="H25" s="1" t="str">
        <v>Non ouvert</v>
      </c>
    </row>
    <row r="26">
      <c r="A26" s="1" t="str">
        <v>AN-023</v>
      </c>
      <c r="H26" s="1" t="str">
        <v>Non ouvert</v>
      </c>
    </row>
    <row r="27">
      <c r="A27" s="1" t="str">
        <v>AN-024</v>
      </c>
      <c r="H27" s="1" t="str">
        <v>Non ouvert</v>
      </c>
    </row>
    <row r="28">
      <c r="A28" s="1" t="str">
        <v>AN-025</v>
      </c>
      <c r="H28" s="1" t="str">
        <v>Non ouvert</v>
      </c>
    </row>
    <row r="29">
      <c r="A29" s="1" t="str">
        <v>AN-026</v>
      </c>
      <c r="H29" s="1" t="str">
        <v>Non ouvert</v>
      </c>
    </row>
    <row r="30">
      <c r="A30" s="1" t="str">
        <v>AN-027</v>
      </c>
      <c r="H30" s="1" t="str">
        <v>Non ouvert</v>
      </c>
    </row>
    <row r="31">
      <c r="A31" s="1" t="str">
        <v>AN-028</v>
      </c>
      <c r="H31" s="1" t="str">
        <v>Non ouvert</v>
      </c>
    </row>
    <row r="32">
      <c r="A32" s="1" t="str">
        <v>AN-029</v>
      </c>
      <c r="H32" s="1" t="str">
        <v>Non ouvert</v>
      </c>
    </row>
    <row r="33">
      <c r="A33" s="1" t="str">
        <v>AN-030</v>
      </c>
      <c r="H33" s="1" t="str">
        <v>Non ouvert</v>
      </c>
    </row>
  </sheetData>
  <mergeCells count="1">
    <mergeCell ref="A1:L1"/>
  </mergeCells>
  <pageMargins left="0.75" right="0.75" top="1" bottom="1" header="0.511811023622047" footer="0.511811023622047"/>
  <ignoredErrors>
    <ignoredError numberStoredAsText="1" sqref="A1:L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 rightToLeft="0"/>
  </sheetViews>
  <sheetData>
    <row r="1">
      <c r="A1" s="1" t="str">
        <v>Procès-Verbal de Recette</v>
      </c>
    </row>
    <row r="3">
      <c r="A3" s="1" t="str">
        <v>Projet</v>
      </c>
      <c r="B3" s="1" t="str">
        <v>CESI Zen</v>
      </c>
    </row>
    <row r="4">
      <c r="A4" s="1" t="str">
        <v>Version applicative</v>
      </c>
    </row>
    <row r="5">
      <c r="A5" s="1" t="str">
        <v>Date de recette</v>
      </c>
    </row>
    <row r="6">
      <c r="A6" s="1" t="str">
        <v>Environnement</v>
      </c>
      <c r="B6" s="1" t="str">
        <v>Recette (iso prod) — serveur HDS, Dokploy</v>
      </c>
    </row>
    <row r="8">
      <c r="A8" s="1" t="str">
        <v>Périmètre validé</v>
      </c>
      <c r="B8" s="1" t="str">
        <v>Comptes utilisateurs · Module Informations · Tracker d'émotions</v>
      </c>
    </row>
    <row r="9">
      <c r="A9" s="1" t="str">
        <v>Nombre total de scénarios</v>
      </c>
      <c r="B9" s="1">
        <f>COUNTA(6_Recette_Manuelle!A4:A1000)+COUNTA(4_Tests_E2E_Web!A4:A1000)+COUNTA(5_Tests_E2E_Mobile!A4:A1000)</f>
        <v>59</v>
      </c>
    </row>
    <row r="10">
      <c r="A10" s="1" t="str">
        <v>Scénarios OK</v>
      </c>
      <c r="B10" s="1">
        <f>1_Synthese!C9</f>
        <v>0</v>
      </c>
    </row>
    <row r="11">
      <c r="A11" s="1" t="str">
        <v>Taux de réussite global</v>
      </c>
      <c r="B11" s="1">
        <f>1_Synthese!G9</f>
        <v>0</v>
      </c>
    </row>
    <row r="13">
      <c r="A13" s="1" t="str">
        <v>Anomalies Bloquantes ouvertes</v>
      </c>
      <c r="B13" s="1">
        <f>COUNTIFS(7_Anomalies!G:G,"Bloquante",7_Anomalies!H:H,"Ouverte")</f>
        <v>0</v>
      </c>
    </row>
    <row r="14">
      <c r="A14" s="1" t="str">
        <v>Anomalies Majeures ouvertes</v>
      </c>
      <c r="B14" s="1">
        <f>COUNTIFS(7_Anomalies!G:G,"Majeure",7_Anomalies!H:H,"Ouverte")</f>
        <v>0</v>
      </c>
    </row>
    <row r="15">
      <c r="A15" s="1" t="str">
        <v>Anomalies Mineures ouvertes</v>
      </c>
      <c r="B15" s="1">
        <f>COUNTIFS(7_Anomalies!G:G,"Mineure",7_Anomalies!H:H,"Ouverte")</f>
        <v>0</v>
      </c>
    </row>
    <row r="17">
      <c r="A17" s="1" t="str">
        <v>Décision de recette</v>
      </c>
    </row>
    <row r="18">
      <c r="A18" s="1" t="str">
        <v xml:space="preserve">  □ Acceptée sans réserve</v>
      </c>
    </row>
    <row r="19">
      <c r="A19" s="1" t="str">
        <v xml:space="preserve">  □ Acceptée avec réserves</v>
      </c>
    </row>
    <row r="20">
      <c r="A20" s="1" t="str">
        <v xml:space="preserve">  □ Refusée</v>
      </c>
    </row>
    <row r="22">
      <c r="A22" s="1" t="str">
        <v>Signataire — Maîtrise d'ouvrage</v>
      </c>
    </row>
    <row r="23">
      <c r="A23" s="1" t="str">
        <v>Signataire — Maîtrise d'œuvre</v>
      </c>
    </row>
    <row r="24">
      <c r="A24" s="1" t="str">
        <v>Signataire — Testeur recette</v>
      </c>
    </row>
    <row r="25">
      <c r="A25" s="1" t="str">
        <v>Date de signature</v>
      </c>
    </row>
  </sheetData>
  <mergeCells count="1">
    <mergeCell ref="A1:B1"/>
  </mergeCells>
  <pageMargins left="0.75" right="0.75" top="1" bottom="1" header="0.511811023622047" footer="0.511811023622047"/>
  <ignoredErrors>
    <ignoredError numberStoredAsText="1" sqref="A1:B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s="1" t="str">
        <v>Instructions d'exécution pour Claude Code</v>
      </c>
    </row>
    <row r="3">
      <c r="A3" s="1" t="str">
        <v>Objectif</v>
      </c>
      <c r="B3" s="1" t="str">
        <v>Ce classeur est exploité par Claude Code pour générer / exécuter automatiquement la suite de tests. Chaque ligne d'une feuille de tests décrit UN cas de test avec son fichier cible et la commande à utiliser.</v>
      </c>
    </row>
    <row r="4">
      <c r="A4" s="1" t="str">
        <v>Comment lire ce fichier ?</v>
      </c>
      <c r="B4" s="1" t="str">
        <v>Lire chaque feuille (2_*, 3_*, 4_*, 5_*) avec pandas ou openpyxl. Les colonnes 'Outil' et 'Fichier de test' indiquent quoi générer et où. La colonne 'Statut' est à mettre à jour (OK / KO / Bloqué / Non joué).</v>
      </c>
    </row>
    <row r="5" xml:space="preserve">
      <c r="A5" s="1" t="str">
        <v>Convention d'arborescence</v>
      </c>
      <c r="B5" s="1" t="str" xml:space="preserve">
        <v xml:space="preserve">Web/API : /tests/unit/**, /tests/integration/** (Vitest)
Mobile  : /mobile/__tests__/** (Jest), /mobile/.maestro/**/*.yaml (Maestro)
E2E Web : /e2e/web/**/*.spec.ts (Playwright)</v>
      </c>
    </row>
    <row r="6" xml:space="preserve">
      <c r="A6" s="1" t="str">
        <v>Commandes globales</v>
      </c>
      <c r="B6" s="1" t="str" xml:space="preserve">
        <v xml:space="preserve">Web/API unitaires &amp; intégration : pnpm test  (ou : pnpm vitest run)
Mobile unitaires                : pnpm --filter mobile test  (Jest)
E2E Web                          : pnpm exec playwright test
E2E Mobile                       : maestro test mobile/.maestro/</v>
      </c>
    </row>
    <row r="7" xml:space="preserve">
      <c r="A7" s="1" t="str">
        <v>Pipeline CI recommandé</v>
      </c>
      <c r="B7" s="1" t="str" xml:space="preserve">
        <v xml:space="preserve">1) install deps  2) lint  3) unit tests  4) integration tests (avec DB Postgres éphémère)
5) build Next.js 6) playwright (chromium uniquement en CI)  7) report</v>
      </c>
    </row>
    <row r="8">
      <c r="A8" s="1" t="str">
        <v>Variables d'environnement requises</v>
      </c>
      <c r="B8" s="1" t="str">
        <v>DATABASE_URL (Postgres de test) · JWT_SECRET · ENCRYPTION_KEY (32 octets hex) · NEXT_PUBLIC_API_URL</v>
      </c>
    </row>
    <row r="9">
      <c r="A9" s="1" t="str">
        <v>Mise à jour du statut depuis CI</v>
      </c>
      <c r="B9" s="1" t="str">
        <v>Un script Node peut lire le classeur, exécuter les tests et écrire le résultat dans la colonne 'Statut'. Utiliser exceljs ou xlsx (npm). Cf. exemple ci-dessous.</v>
      </c>
    </row>
    <row r="10" xml:space="preserve">
      <c r="A10" s="1" t="str">
        <v>Exemple : exécuter un test ciblé</v>
      </c>
      <c r="B10" s="1" t="str" xml:space="preserve">
        <v xml:space="preserve">pnpm vitest run tests/integration/entries/create.test.ts
pnpm exec playwright test e2e/web/tracker/create-entry.spec.ts
maestro test mobile/.maestro/auth/login-persistence.yaml</v>
      </c>
    </row>
    <row r="11">
      <c r="A11" s="1" t="str">
        <v>Données de test attendues</v>
      </c>
      <c r="B11" s="1" t="str">
        <v>Seed : 1 admin (admin@test.fr), 1 user (user@test.fr), 1 user banni, 2 articles (1 publié 'stress', 1 brouillon), 10 entrées sur le compte user. Mot de passe commun : Aa1!aaaaaa</v>
      </c>
    </row>
    <row r="12">
      <c r="A12" s="1" t="str">
        <v>Critères d'acceptation</v>
      </c>
      <c r="B12" s="1" t="str">
        <v>Voir feuille '1_Synthese'. La recette est validée si : 100% des Bloquants OK, ≥95% Majeurs OK, 0 anomalie bloquante ouverte.</v>
      </c>
    </row>
    <row r="13">
      <c r="A13" s="1" t="str">
        <v>Format des statuts (validation Excel)</v>
      </c>
      <c r="B13" s="1" t="str">
        <v>OK · KO · Bloqué · Non joué</v>
      </c>
    </row>
  </sheetData>
  <mergeCells count="1">
    <mergeCell ref="A1:B1"/>
  </mergeCells>
  <pageMargins left="0.75" right="0.75" top="1" bottom="1" header="0.511811023622047" footer="0.511811023622047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0_Page_de_garde</vt:lpstr>
      <vt:lpstr>1_Synthese</vt:lpstr>
      <vt:lpstr>2_Tests_Unitaires</vt:lpstr>
      <vt:lpstr>3_Tests_Integration</vt:lpstr>
      <vt:lpstr>4_Tests_E2E_Web</vt:lpstr>
      <vt:lpstr>5_Tests_E2E_Mobile</vt:lpstr>
      <vt:lpstr>6_Recette_Manuelle</vt:lpstr>
      <vt:lpstr>7_Anomalies</vt:lpstr>
      <vt:lpstr>8_PV_Recette</vt:lpstr>
      <vt:lpstr>9_Instructions_ClaudeCode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2026-05-18T09:20:33Z</dcterms:created>
  <dcterms:modified xsi:type="dcterms:W3CDTF">2026-05-18T09:20:33Z</dcterms:modified>
  <cp:revision>0</cp:revision>
  <dc:creator>openpyxl</dc:creator>
  <dc:language>en-US</dc:language>
</cp:coreProperties>
</file>